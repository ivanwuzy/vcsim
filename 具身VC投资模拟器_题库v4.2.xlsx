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activeTab="1"/>
  </bookViews>
  <sheets>
    <sheet name="题库底稿" sheetId="1" r:id="rId1"/>
    <sheet name="回报测算" sheetId="2" r:id="rId2"/>
    <sheet name="资料口径" sheetId="3" r:id="rId3"/>
  </sheets>
  <definedNames>
    <definedName name="_xlnm._FilterDatabase" localSheetId="1" hidden="1">回报测算!$A$6:$R$56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<sst xmlns="http://schemas.openxmlformats.org/spreadsheetml/2006/main" count="1698" uniqueCount="1169">
  <si>
    <t>项目原型简称</t>
  </si>
  <si>
    <t>游戏内项目代称</t>
  </si>
  <si>
    <t>所在领域</t>
  </si>
  <si>
    <t>标记</t>
  </si>
  <si>
    <t>一句话定位</t>
  </si>
  <si>
    <t>游戏进入年份</t>
  </si>
  <si>
    <t>真实团队原型故事</t>
  </si>
  <si>
    <t>游戏内团队一句话介绍</t>
  </si>
  <si>
    <t>真实团队技术故事</t>
  </si>
  <si>
    <t>游戏内技术亮点一句话介绍</t>
  </si>
  <si>
    <t>真实团队商业化故事</t>
  </si>
  <si>
    <t>游戏内一句话商业化亮点</t>
  </si>
  <si>
    <t>项目风险点</t>
  </si>
  <si>
    <t>进入估值/首轮信息</t>
  </si>
  <si>
    <t>终点估值/最新信息</t>
  </si>
  <si>
    <t>游戏内投资回报</t>
  </si>
  <si>
    <t>优必选</t>
  </si>
  <si>
    <t>启行机器人</t>
  </si>
  <si>
    <t>具身本体与模型</t>
  </si>
  <si>
    <t>V4正式题库</t>
  </si>
  <si>
    <t>会跳舞的小型消费级人形机器人</t>
  </si>
  <si>
    <t>周剑具有工业设备创业经历，早期长期投入伺服系统，2012年成立优必选。团队由关节工程延伸到小型人形产品及行业方案。</t>
  </si>
  <si>
    <t>工业设备创业者长期投入伺服驱动研发，团队兼顾机电工程和产品设计。</t>
  </si>
  <si>
    <t>先积累伺服驱动、运动控制和机器人产品，再拓展大型人形与工业任务。不同尺寸的机构与安全要求并不自动通用。</t>
  </si>
  <si>
    <t>自研小型伺服关节，组合成可编程的人形平台。</t>
  </si>
  <si>
    <t>教育和消费机器人形成早期产品入口，随后拓展服务及工业人形场景，2023年在香港上市。上市、订单、盈利和各轮投资回报须分别判断。</t>
  </si>
  <si>
    <t>从教育、开发者和展示需求起步，建立可销售的标准产品。</t>
  </si>
  <si>
    <t>教育产品的收入能否支持更大尺寸机器人的长期研发？</t>
  </si>
  <si>
    <r>
      <rPr>
        <sz val="10"/>
        <color rgb="FF172233"/>
        <rFont val="宋体-简"/>
        <charset val="134"/>
      </rPr>
      <t>首轮估值按</t>
    </r>
    <r>
      <rPr>
        <sz val="10"/>
        <color rgb="FF172233"/>
        <rFont val="Arial"/>
        <charset val="134"/>
      </rPr>
      <t>1</t>
    </r>
    <r>
      <rPr>
        <sz val="10"/>
        <color rgb="FF172233"/>
        <rFont val="宋体-简"/>
        <charset val="134"/>
      </rPr>
      <t>亿计算</t>
    </r>
  </si>
  <si>
    <t>2023年香港上市（09880）；2026-10-15 15:11:07盘中股价63.05港元、总股本503401373，总市值317.3946亿港元。按HKD/CNY=0.8570，折合约272.0071亿元人民币。</t>
  </si>
  <si>
    <r>
      <rPr>
        <sz val="10"/>
        <color rgb="FF172233"/>
        <rFont val="宋体-简"/>
        <charset val="134"/>
      </rPr>
      <t>回报倍数近似取</t>
    </r>
    <r>
      <rPr>
        <sz val="10"/>
        <color rgb="FF172233"/>
        <rFont val="Arial"/>
        <charset val="134"/>
      </rPr>
      <t>300</t>
    </r>
    <r>
      <rPr>
        <sz val="10"/>
        <color rgb="FF172233"/>
        <rFont val="宋体-简"/>
        <charset val="134"/>
      </rPr>
      <t>倍</t>
    </r>
  </si>
  <si>
    <t>大疆创新</t>
  </si>
  <si>
    <t>稳翼科技</t>
  </si>
  <si>
    <t>其他机器人</t>
  </si>
  <si>
    <t>航模云台团队创业做航拍无人机</t>
  </si>
  <si>
    <t>汪滔在香港科技大学求学期间钻研飞控，2006年创办大疆，从小团队与飞行稳定模块起步，后续补齐产品和制造组织。</t>
  </si>
  <si>
    <t>飞控研发出身的创始人带领软硬件团队，把航模控制技术做成一体化航拍产品。</t>
  </si>
  <si>
    <t>从飞控扩展到云台、整机与图传，系统协同降低航拍使用门槛。飞行控制、相机稳定和整机可靠性共同形成产品价值。</t>
  </si>
  <si>
    <t>飞控、云台、相机和图传协同设计，降低稳定航拍的操作门槛。</t>
  </si>
  <si>
    <t>先服务专业与航模用户，后续以一体航拍产品进入消费市场，并扩展行业应用。公开市场地位不是精确股权退出记录。</t>
  </si>
  <si>
    <t>模块销售积累专业用户，再以一体化航拍产品拓展消费市场。</t>
  </si>
  <si>
    <t>专业玩家市场较小，整机的安全与售后要怎样支撑扩张？</t>
  </si>
  <si>
    <t>估值按20亿计算</t>
  </si>
  <si>
    <r>
      <rPr>
        <sz val="10"/>
        <color rgb="FF172233"/>
        <rFont val="宋体-简"/>
        <charset val="134"/>
      </rPr>
      <t>最新估值按</t>
    </r>
    <r>
      <rPr>
        <sz val="10"/>
        <color rgb="FF172233"/>
        <rFont val="Arial"/>
        <charset val="134"/>
      </rPr>
      <t>2500</t>
    </r>
    <r>
      <rPr>
        <sz val="10"/>
        <color rgb="FF172233"/>
        <rFont val="宋体-简"/>
        <charset val="134"/>
      </rPr>
      <t>亿计算</t>
    </r>
  </si>
  <si>
    <t>群核科技</t>
  </si>
  <si>
    <t>空间云图</t>
  </si>
  <si>
    <t>AI infra与数据</t>
  </si>
  <si>
    <t>把室内设计方案变成可理解、可协作的三维空间内容。</t>
  </si>
  <si>
    <t>黄晓煌、陈航、朱皓等图形计算与软件工程背景成员在2011年创办群核。其产品从室内设计师的建模、渲染和沟通需求切入。</t>
  </si>
  <si>
    <t>图形计算和软件工程团队，想把室内设计的建模、渲染和沟通搬到云端。</t>
  </si>
  <si>
    <t>空间建模、云渲染和设计协作构成早期技术路径。设计资产、空间数据和机器人训练数据的可用性需要分别验证。</t>
  </si>
  <si>
    <t>用云端建模与渲染缩短设计方案从草图到可视化的反馈时间。</t>
  </si>
  <si>
    <t>以设计师、家居商家和设计公司为客户，软件订阅和企业服务是不同收入形态。</t>
  </si>
  <si>
    <t>设计师和家居商家有重复出图与沟通需求，愿不愿意持续订阅是第一道验证。</t>
  </si>
  <si>
    <t>客户获客、渲染成本和服务投入能否被订阅收入长期覆盖？</t>
  </si>
  <si>
    <r>
      <rPr>
        <sz val="10"/>
        <color rgb="FF172233"/>
        <rFont val="宋体-简"/>
        <charset val="134"/>
      </rPr>
      <t>最新市值</t>
    </r>
    <r>
      <rPr>
        <sz val="10"/>
        <color rgb="FF172233"/>
        <rFont val="Arial"/>
        <charset val="134"/>
      </rPr>
      <t>70</t>
    </r>
    <r>
      <rPr>
        <sz val="10"/>
        <color rgb="FF172233"/>
        <rFont val="宋体-简"/>
        <charset val="134"/>
      </rPr>
      <t>亿</t>
    </r>
  </si>
  <si>
    <t>云迹机器人</t>
  </si>
  <si>
    <t>楼行科技</t>
  </si>
  <si>
    <t>让服务机器人在楼宇里自主行走，承担重复送物任务。</t>
  </si>
  <si>
    <t>云迹2014年成立，早期团队围绕传感器、移动机器人和服务场景研发。胡泉及支涛等参与公司的创业和经营；早期工商股东与后续经营团队身份需分别理解。</t>
  </si>
  <si>
    <t>传感器与自动化背景的工程团队，想让机器人离开实验室进入服务楼宇。</t>
  </si>
  <si>
    <t>自主导航、环境感知与楼宇设备连接组成酒店送物系统。后续由单一送物机器人扩展复合多态机器人和AI数字化系统；2014年不能提前宣称这些成熟产品均已存在。</t>
  </si>
  <si>
    <t>用传感器感知室内环境，让移动底盘规划路线并绕开障碍。</t>
  </si>
  <si>
    <t>2015年推出酒店机器人，逐步形成酒店送物入口，后续扩展医院和工厂。2021年D轮投后40.8亿元，2025年港股上市。</t>
  </si>
  <si>
    <t>先选择酒店和楼宇试点，用重复送物任务验证稳定运行和客户付费。</t>
  </si>
  <si>
    <t>电梯联动、住客干扰与夜间维护会不会让单台机器人需要大量人工照看？</t>
  </si>
  <si>
    <t>2014-07天使融资750万元，安徽人工智能公司及北京洋葱参投；未核实当轮投后估值。2017年有腾讯、海航等参与A轮。</t>
  </si>
  <si>
    <t>2021-12 D轮融资5.8亿元、投后40.8亿元；2026-10-15约14:54港股02670市值46.8085亿港元，折40.114885亿元人民币。</t>
  </si>
  <si>
    <t>估值资料待补：本题暂不进入自动结算。</t>
  </si>
  <si>
    <t>珞石机器人</t>
  </si>
  <si>
    <t>精工柔臂</t>
  </si>
  <si>
    <t>先掌握机械臂的控制系统，再做可批量交付的工业机器人。</t>
  </si>
  <si>
    <t>庹华有哈尔滨理工大学及北京大学电子与通信工程学习背景、工业机器人从业经验；与曹华、韩峰涛共同创业。2014年12月注册、2015年正式运营，从控制系统研发切入。</t>
  </si>
  <si>
    <t>有工业机器人从业经验的工程师与控制研发团队，先从机器人的“大脑”创业。</t>
  </si>
  <si>
    <t>创业初期研发运动控制系统，2016年推出搭载自研控制器的XB-6机器人，随后拓展工业机器人、柔性协作机器人。控制算法、驱控和机械系统的联调是产品基础。</t>
  </si>
  <si>
    <t>自研运动控制系统，计划把轨迹、精度与速度调进同一套机械臂。</t>
  </si>
  <si>
    <t>先尝试向机器人本体厂提供控制系统，再拓展整机；后续在山东邹城建设制造能力、扩展工业客户。2025年最后一轮投后52.95亿元，2026年已港股上市。</t>
  </si>
  <si>
    <t>先面向工业机器人厂商验证控制系统，再评估自研整机的市场。</t>
  </si>
  <si>
    <t>控制器获认可之后，整机的可靠性、工艺适配和售后投入能否跟上？</t>
  </si>
  <si>
    <t>2015年前后梅花创投天使投资。投中网2025-10-30称独家190万元；旧融资数据库称2015-07融资380万元、两家参投。首轮投后估值和两口径差异未直接核实。</t>
  </si>
  <si>
    <t>2025-06最后一轮融资1.95亿元、投后52.95亿元；已上市主体2026-10-15约14:53市值129.9386亿港元，折111.35738亿元人民币。</t>
  </si>
  <si>
    <t>越疆机器人</t>
  </si>
  <si>
    <t>轻臂科技</t>
  </si>
  <si>
    <t>把机械臂做得更轻巧，让更多工位用得起。</t>
  </si>
  <si>
    <t>刘培超具有山东大学机械研究背景，2015年创办越疆，团队从轻型桌面机械臂逐步扩展到协作机器人。</t>
  </si>
  <si>
    <t>机械与控制工程师组成小团队，把桌面机械臂做成可使用的产品。</t>
  </si>
  <si>
    <t>研发控制器、整机及应用接口，形成多个负载和应用系列。协作安全、精度与寿命需要在不同场景验证。</t>
  </si>
  <si>
    <t>控制器、轻型机械结构和软件接口一体设计。</t>
  </si>
  <si>
    <t>早期借教育、开发者和轻型自动化需求形成产品销售，再扩展工业渠道与海外市场，2024年在香港上市。设备毛利须结合集成和售后成本看。</t>
  </si>
  <si>
    <t>教育及小型自动化任务先试用，再通过集成伙伴进入工厂。</t>
  </si>
  <si>
    <t>每个工位都要定制时，低价设备还能留下足够利润吗？</t>
  </si>
  <si>
    <t>天使投资方同道齐创、道生资本、深创投、君溢创投等，投后1.5亿元；2022年末投后35.31亿元。</t>
  </si>
  <si>
    <t>腾讯行情2026-10-15约14:54市值72.5046亿港元，按当日中间价0.8570折人民币</t>
  </si>
  <si>
    <t>公开估值/市值计算：41.42倍，未计后续稀释、优先权、税费和流动性折价。</t>
  </si>
  <si>
    <t>石头科技</t>
  </si>
  <si>
    <t>循迹清洁</t>
  </si>
  <si>
    <t>让扫地机器人先看懂房间，再安排清扫路线。</t>
  </si>
  <si>
    <t>昌敬具有软件及互联网产品开发经历，2014年创办石头科技。团队将导航软件能力与清洁硬件、供应链工程结合。</t>
  </si>
  <si>
    <t>软件与互联网产品团队，从家庭清洁这一具体需求进入硬件。</t>
  </si>
  <si>
    <t>以激光导航和路径规划提升清扫覆盖，再持续改进拖地、基站和维护体验。算法与机械结构共同决定家庭环境中的可用性。</t>
  </si>
  <si>
    <t>激光建图、路径规划和清扫机构一起设计，减少漏扫与反复绕行。</t>
  </si>
  <si>
    <t>借生态渠道推出早期产品，随后发展自有品牌及海外渠道，2020年科创板上市。渠道资源帮助启动，品牌投入与售后能力支撑扩张。</t>
  </si>
  <si>
    <t>借助消费电子生态渠道，把首款产品送到已有用户面前。</t>
  </si>
  <si>
    <t>渠道能帮助起步，但能否支持长期品牌和产品定价？</t>
  </si>
  <si>
    <t>2015-03投后约4380万元，低于5000万元门槛；2016年顺为资本早期定价轮投后14.82亿元。</t>
  </si>
  <si>
    <t>2026-10-15收盘价103.10元×总股本259567776股=267.614377亿元。</t>
  </si>
  <si>
    <t>公开估值/市值计算：18.06倍，采用首个满足5000万元门槛的早期定价轮。</t>
  </si>
  <si>
    <t>纵目科技</t>
  </si>
  <si>
    <t>泊行科技</t>
  </si>
  <si>
    <t>自动驾驶</t>
  </si>
  <si>
    <t>从智能泊车和环视感知出发，向车端自动驾驶系统扩展。</t>
  </si>
  <si>
    <t>唐锐有汽车电子和技术创业经历，2013年创办纵目科技。团队选择泊车这一低速、边界相对明确的场景开始产品验证。</t>
  </si>
  <si>
    <t>汽车电子和视觉工程团队，先让车在停车场里完成可控的自动泊车任务。</t>
  </si>
  <si>
    <t>产品组合包括摄像头感知、车端计算和泊车控制。低速泊车成功不等于可以直接复制到开放道路自动驾驶。</t>
  </si>
  <si>
    <t>让摄像头感知、车端计算和泊车控制协同工作，先解决进出车位的具体难题。</t>
  </si>
  <si>
    <t>公司与车企开展车型项目合作，但研发周期、客户回款和融资节奏会影响持续经营。公开司法重整线索只表明存在法律程序风险，不能等同于普通股已清零。</t>
  </si>
  <si>
    <t>泊车是明确的车型功能入口，先看能否拿到定点并把系统稳定交付。</t>
  </si>
  <si>
    <t>量产前研发投入高、回款慢；如果下一轮资金晚于车型项目兑现，公司可能先面临流动性风险。</t>
  </si>
  <si>
    <t>首轮融资的日期、金额和投后估值未在本轮公开材料中核到。</t>
  </si>
  <si>
    <t>公开资料有司法重整线索，但截至截止日未取得经法院确认的普通股清偿率或完整债权分配结果。</t>
  </si>
  <si>
    <t>地平线</t>
  </si>
  <si>
    <t>车芯科技</t>
  </si>
  <si>
    <t>芯片</t>
  </si>
  <si>
    <t>把感知与推理能力装进汽车可量产的低功耗计算平台。</t>
  </si>
  <si>
    <t>余凯有机器学习研究和百度深度学习团队管理经历，2015年创办地平线。创业团队将算法研究、芯片架构和车规工程组织在一起。</t>
  </si>
  <si>
    <t>机器学习和产业研发背景团队，准备把算法做成车内长期运行的计算平台。</t>
  </si>
  <si>
    <t>公司开发车端AI计算架构、芯片和工具链。模型准确率、能耗、功能安全和车企软件集成缺一不可。</t>
  </si>
  <si>
    <t>让AI芯片和软件工具链一起迭代，在车内稳定运行感知计算。</t>
  </si>
  <si>
    <t>公司以车企定点和量产出货形成商业入口，2024年在香港上市。定点数量和股权回报不是同一个指标，结算使用明确的股价和股本口径。</t>
  </si>
  <si>
    <t>先和车企共同把一款车型做进量产，再验证计算平台能否复制到更多车型。</t>
  </si>
  <si>
    <t>车型开发周期长，若首代芯片错过平台窗口，后续订单和研发资源都可能承压。</t>
  </si>
  <si>
    <t>2017-09 A1轮投后5亿美元，折人民币约33.2592亿元。</t>
  </si>
  <si>
    <t>2026-10-15市值607.99亿港元，折人民币约518.49亿元。</t>
  </si>
  <si>
    <t>公开估值/市值计算：15.59倍。</t>
  </si>
  <si>
    <t>强脑科技</t>
  </si>
  <si>
    <t>意行科技</t>
  </si>
  <si>
    <t>脑机与神经技术</t>
  </si>
  <si>
    <t>把可穿戴传感器采集的生理信号转化为交互控制。</t>
  </si>
  <si>
    <t>韩璧丞具有脑科学研究背景，2015年创办BrainCo强脑。团队需要同时处理传感器、算法、硬件和具体产品场景。</t>
  </si>
  <si>
    <t>脑科学研究者与软硬件团队，尝试把实验中的信号采集做成可穿戴产品。</t>
  </si>
  <si>
    <t>早期围绕脑电等可穿戴信号采集与算法识别探索产品。信号采集、算法判别和设备控制是不同环节。</t>
  </si>
  <si>
    <t>先用传感器采集可重复的生理信号，再训练算法识别可用于交互的模式。</t>
  </si>
  <si>
    <t>早期在研究、训练和交互产品中寻找客户，医疗用途、康复效果和消费电子产品能力须分别验证。</t>
  </si>
  <si>
    <t>从研究和训练场景试用设备，观察真实用户是否愿意为稳定体验付费。</t>
  </si>
  <si>
    <t>个体差异与信号噪声很大，产品效果能否跨用户稳定复现？</t>
  </si>
  <si>
    <t>2019年A轮后估值4亿美元（投前/投后待核）。</t>
  </si>
  <si>
    <t>2026-03估值超120亿元人民币，折超16.7亿美元。</t>
  </si>
  <si>
    <t>估值下限计算：超过4.18倍。</t>
  </si>
  <si>
    <t>博睿康</t>
  </si>
  <si>
    <t>神经工坊</t>
  </si>
  <si>
    <t>让研究人员稳定地采集和分析神经信号。</t>
  </si>
  <si>
    <t>博睿康于2011年创办，团队结合神经科学、电子工程和仪器产品研发，面向科研与医疗研究场景提供信号采集系统。</t>
  </si>
  <si>
    <t>神经科学和电子工程团队，从研究人员每天都要面对的信号采集问题开始。</t>
  </si>
  <si>
    <t>早期产品关注采集硬件、同步、噪声与实验软件。无创、微创和植入式系统有不同信号来源与监管要求。</t>
  </si>
  <si>
    <t>用采集硬件和实验软件提高信号质量，让研究人员能稳定地重复实验。</t>
  </si>
  <si>
    <t>先向高校、医院和研究机构销售设备及服务，再探索临床合作；科研设备、临床试验与获批商业化不能混为一谈。</t>
  </si>
  <si>
    <t>高校和医院有设备采购与技术服务需求，先验证安装、维护和复购。</t>
  </si>
  <si>
    <t>科研设备市场有限；向临床系统延展需要多长时间的验证、注册和服务投入？</t>
  </si>
  <si>
    <t>首轮公开融资日期、金额、投后估值尚未核到。</t>
  </si>
  <si>
    <t>截至截止日未核到同主体可复算的最新投后估值或公开市值。</t>
  </si>
  <si>
    <t>宇树科技</t>
  </si>
  <si>
    <t>野行科技</t>
  </si>
  <si>
    <t>把原本昂贵的四足机器人，做成开发者买得起的平台。</t>
  </si>
  <si>
    <t>王兴兴从浙江理工大学本科、上海大学机械硕士阶段积累机电与四足控制经验。学生时期自制电驱四足原型，2016年创办宇树，以小团队做可出售的整机。</t>
  </si>
  <si>
    <t>创始人普通理工本科，211机械硕士，但学生时代就是技术极客，是极早期做出过能跑的四足机器人的钻研型团队。</t>
  </si>
  <si>
    <t>早期选择电驱四足路线，自研电机、驱动和控制系统，持续压低机电成本。后续由四足研发平台扩展到人形本体，控制与量产工程相互迭代。</t>
  </si>
  <si>
    <t>电驱动路线行业探索者，把电机、驱动和运动控制一起优化，尝试降低机器人的整机成本。</t>
  </si>
  <si>
    <t>先通过高校、科研与开发者市场销售四足机器人，再扩大海外销售和行业应用，后续人形产品带来更广关注。产品、营收和资本估值是不同证据。</t>
  </si>
  <si>
    <t>计划先向高校和机器人开发者销售，让想研究机器人、却造不起整机的人有个平台可用。</t>
  </si>
  <si>
    <t>科研和开发者市场可能太小；产品演示效果和海外液压路线差距明显</t>
  </si>
  <si>
    <t>2016年获得尹方鸣200万元天使投资；公开媒体与后续上市检索对股权比例存在15%/20%口径差异，未直接核到招股书历史交易页。200万元是投资额。</t>
  </si>
  <si>
    <t>保留用户确认1035倍；本批未取得与其对应的末轮估值或退出日，不用当前市值反推凑数。</t>
  </si>
  <si>
    <t>用户人工确认：1035.00倍，未计后续稀释、优先权、税费和流动性折价。</t>
  </si>
  <si>
    <t>极智嘉</t>
  </si>
  <si>
    <t>货伴科技</t>
  </si>
  <si>
    <t>让货架来到拣货员面前，少走仓库里的路。</t>
  </si>
  <si>
    <t>郑勇具有工程及产业管理背景，2015年创办极智嘉。团队从仓储自动化任务出发，连接机器人、软件与项目交付。</t>
  </si>
  <si>
    <t>有工程与产业管理经验的团队，从仓储流程和系统交付开始创业。</t>
  </si>
  <si>
    <t>移动搬运机器人与集群调度、仓储软件协同，后续扩展不同货物及工作流。单机速度不能替代整仓吞吐与可用率。</t>
  </si>
  <si>
    <t>移动机器人配合调度软件，管理多台设备的搬运路径。</t>
  </si>
  <si>
    <t>2015年创办、2016年A1轮后推进仓储履约机器人与系统交付，随后进入海外市场；2025年港股上市。游戏卡片采用2016年所知的仓储场景，后续上市只写复盘。</t>
  </si>
  <si>
    <t>电商和第三方物流仓库能用拣选效率及库容衡量改造价值。</t>
  </si>
  <si>
    <t>整仓项目周期长，回款是否跟得上硬件和实施投入？</t>
  </si>
  <si>
    <t>据招股书，2016年A1轮融资4250万元、投后估值2.1亿元；2022-12 E1轮投后150亿元。</t>
  </si>
  <si>
    <t>腾讯行情2026-10-15约14:54市值76.7254亿港元，按当日中间价0.8570折人民币</t>
  </si>
  <si>
    <t>公开估值/市值计算：31.31倍，未计后续稀释、优先权、税费和流动性折价。</t>
  </si>
  <si>
    <t>普渡科技</t>
  </si>
  <si>
    <t>餐途机器人</t>
  </si>
  <si>
    <t>用机器人接走餐厅里重复的送餐路程。</t>
  </si>
  <si>
    <t>张涛于2016年创办普渡，团队从机器人工程和室内配送需求切入，持续建设整机、软件和渠道能力。</t>
  </si>
  <si>
    <t>机器人工程团队从餐厅需求起步，围绕底盘、导航和可维护性做产品。</t>
  </si>
  <si>
    <t>由室内配送的定位、避障与调度扩展到清洁及其他商用任务。产品需应对人流、地面、布局和维护条件的变化。</t>
  </si>
  <si>
    <t>室内定位、避障和多机调度围绕端盘配送组合。</t>
  </si>
  <si>
    <t>由餐饮配送切入，逐步扩展商用清洁、工业配送及具身智能。2026-04宣布近10亿元融资、估值突破100亿元。此为公司融资披露，不是已退出回报。</t>
  </si>
  <si>
    <t>餐厅与酒店的固定往返任务，便于比较人工时间和设备成本。</t>
  </si>
  <si>
    <t>拥挤门店中的故障和售后，是否会吃掉节省的人工成本？</t>
  </si>
  <si>
    <t>2016年前后获得长盈鑫等天使投资（长盈鑫是长盈精密关联方，上市公司本身未直接投资）；2018-06 A轮5000万元，启创资本领投、榕泉资本等跟投。首轮投后估值未披露。</t>
  </si>
  <si>
    <t>2026-04-23完成近10亿元E轮融资，公司称投后估值突破100亿元人民币；官网称累计融资超过20亿元。</t>
  </si>
  <si>
    <t>梅卡曼德</t>
  </si>
  <si>
    <t>机臂视界</t>
  </si>
  <si>
    <t>核心部件</t>
  </si>
  <si>
    <t>给不同的机械臂用上同一套“眼睛和大脑”。</t>
  </si>
  <si>
    <t>邵天兰具有清华与德国机器人研发背景，2016年创办梅卡曼德。团队将工业视觉和机器人算法组合成面向集成商的产品。</t>
  </si>
  <si>
    <t>名校软件背景的海归团队，创业切入点选在工厂里最普通的抓取工序。</t>
  </si>
  <si>
    <t>从3D相机、位姿识别与运动规划切入，减少无序抓取的工位编程负担。标准组件仍需处理反光、遮挡与不同末端执行器。</t>
  </si>
  <si>
    <t>尝试把相机、识别算法和抓取软件做成一套产品，减少每个工位重新编程的工作。</t>
  </si>
  <si>
    <t>通过自动化集成商交付无序抓取、拆码垛等工厂项目，组件销售与伙伴网络帮助复制。用户100亿元为人工终点；另有2026-09-01港股上市报道，与用户基准分开记录。</t>
  </si>
  <si>
    <t>通过自动化集成商进入工厂，让合作伙伴用这套产品完成客户项目。</t>
  </si>
  <si>
    <t>适配品牌越多越复杂，整机厂有可能下场自己做视觉</t>
  </si>
  <si>
    <t>人工基准：2016年天使轮投后估值1600万元，即0.16亿元人民币；交易原文待补证。</t>
  </si>
  <si>
    <t>用户选定100亿元人民币估值终点继续沿用。2026-09-02投资界转载报道其9月1日在港交所上市、发行价101.7港元，开盘市值超120亿港元；不把开盘港元市值直接当作用户人民币估值。</t>
  </si>
  <si>
    <t>用户人工确认：625.00倍，未计后续稀释、优先权、税费和流动性折价。</t>
  </si>
  <si>
    <t>禾赛科技</t>
  </si>
  <si>
    <t>光域传感</t>
  </si>
  <si>
    <t>把激光测距做成机器人和汽车可用的传感器。</t>
  </si>
  <si>
    <t>李一帆、孙恺与向少卿于2014年创办禾赛，团队覆盖海外研究、光学、电子及工程能力。早期技术探索逐渐转向激光雷达产品。</t>
  </si>
  <si>
    <t>海外名校博士与工程团队，结合光学、电子和产品开发经验。</t>
  </si>
  <si>
    <t>将测距、光机电结构与校准工艺产品化，再向车规量产和集成设计迭代。研发雷达与量产雷达的成本及质量要求不同。</t>
  </si>
  <si>
    <t>光机电设计与标定协同，提高点云精度并控制制造成本。</t>
  </si>
  <si>
    <t>从自动驾驶研发等客户扩展到车企量产，2023年赴美上市。出货、客户定点和上市是阶段证据，价格压力与毛利仍需看。</t>
  </si>
  <si>
    <t>自动驾驶研发客户需要稳定的环境感知，提供首批付费需求。</t>
  </si>
  <si>
    <t>车规导入很长，量产价格下降会不会快于成本下降？</t>
  </si>
  <si>
    <t>2017-05-10公开A轮融资1.1亿元人民币，Pagoda Investment领投、将门等跟投；融资额不等于投后估值。更早融资估值未取得，原表2016仅产品起步年。</t>
  </si>
  <si>
    <t>2026-10-14美股收盘13.94美元，腾讯口径全部股权市值21.90562亿美元。2025年9月港股上市与美股是同一主体，不将两市场市值相加。</t>
  </si>
  <si>
    <t>绿的谐波</t>
  </si>
  <si>
    <t>精衡传动</t>
  </si>
  <si>
    <t>把机器人关节需要的精密减速器做成国产选项。</t>
  </si>
  <si>
    <t>左昱昱、左晶团队依托精密制造积累开展谐波传动研发，绿的谐波主体于2011年设立。其“低开”指窄部件和长期工艺起步。</t>
  </si>
  <si>
    <t>长期做精密制造的团队，用多年工艺迭代挑战高精度传动部件。</t>
  </si>
  <si>
    <t>谐波传动依赖齿形、柔轮、材料及加工控制，精度与疲劳寿命需同步验证。制造能力是持续累积的壁垒。</t>
  </si>
  <si>
    <t>齿形、柔轮材料与加工一致性一起决定精度和寿命。</t>
  </si>
  <si>
    <t>先从机器人厂商导入与批量采购形成市场，2020年科创板上市。终端机器人景气会影响订单，产品导入和客户黏性支撑收入。</t>
  </si>
  <si>
    <t>向工业机器人厂商送样，可靠性通过后争取重复采购。</t>
  </si>
  <si>
    <t>验证周期长，小批量性能能否在批量制造中保持？</t>
  </si>
  <si>
    <t>2014年谱润投资入股已有媒体记录但估值未核。本次采用招股书已核2018-11-15增资：三峡金石、方广资本、中信并购基金合计2.5亿元，认购531.25万股，增资后9031.25万股；精确股份比例推算投后42.5亿元。</t>
  </si>
  <si>
    <t>2026-10-15收盘234.00元，总股本183,330,125股，全部股权市值428.99249亿元。</t>
  </si>
  <si>
    <t>公开估值/市值计算：10.09倍，未计后续稀释、优先权、税费和流动性折价。</t>
  </si>
  <si>
    <t>Momenta</t>
  </si>
  <si>
    <t>路衡智能</t>
  </si>
  <si>
    <t>用量产车数据持续改进辅助驾驶和无人驾驶能力。</t>
  </si>
  <si>
    <t>曹旭东有清华、微软研究院和AI企业研发经历，2016年创办Momenta。团队从计算机视觉与数据驱动路线切入汽车软件。</t>
  </si>
  <si>
    <t>视觉和AI研究背景团队，想把学习算法变成车端可部署的驾驶产品。</t>
  </si>
  <si>
    <t>公司以数据闭环、感知和规划算法服务量产辅助驾驶，同时推进无人驾驶研发。算法演示、车规可靠性和安全责任边界需分别验证。</t>
  </si>
  <si>
    <t>把量产车数据用于训练感知和驾驶策略，再回到车辆上持续迭代。</t>
  </si>
  <si>
    <t>早期通过车企联合开发获取数据和车型入口，后续获得多家整车厂与零部件企业投资。定点、出货和可持续软件收入不能混为一谈。</t>
  </si>
  <si>
    <t>先与车企共同开发一款车型，验证数据闭环能否改善真实驾驶体验。</t>
  </si>
  <si>
    <t>汽车导入周期长、合规和安全验证重；数据积累未必会自然转化为可复制的毛利。</t>
  </si>
  <si>
    <t>2018年公开估值超过10亿美元，取10亿美元下限。</t>
  </si>
  <si>
    <t>2026-10-15市值374.27亿港元，折约48亿美元。</t>
  </si>
  <si>
    <t>按入口下限计算：低于4.80倍。</t>
  </si>
  <si>
    <t>蓝箭航天</t>
  </si>
  <si>
    <t>燃舟航天</t>
  </si>
  <si>
    <t>商业航天</t>
  </si>
  <si>
    <t>研发以液氧甲烷为动力的商业运载火箭。</t>
  </si>
  <si>
    <t>张昌武2015年创办蓝箭，团队聚集航天工程、制造和运营人员。张昌武承担产业组织角色，吴树范负责技术与工程方向。</t>
  </si>
  <si>
    <t>航天工程人员和产业组织团队开始组建，准备从发动机与整箭测试一步步验证。</t>
  </si>
  <si>
    <t>早期瞄准液氧甲烷推进、发动机、推进系统和整箭控制。发动机试验、整箭试验和发射服务可靠性必须分阶段验证。</t>
  </si>
  <si>
    <t>从发动机、推进系统和整箭控制的测试开始，把可重复验证的工程结果往前推进。</t>
  </si>
  <si>
    <t>面向卫星客户争取发射服务，早期关键是技术里程碑、可靠性和客户合同，而不是预先假定规模化盈利。</t>
  </si>
  <si>
    <t>先寻找愿意共同验证发射能力的卫星客户，争取把试验能力转为合同。</t>
  </si>
  <si>
    <t>高研发和制造投入需要足够的发射频次分摊；任何关键节点延期都会拉长现金消耗。</t>
  </si>
  <si>
    <t>IT桔子记录：2016-03-02天使轮，创想天使参与，金额未透露；2016-06 Pre-A为数千万人民币。未披露天使投后估值。</t>
  </si>
  <si>
    <t>IT桔子新闻记录国家制造业转型升级基金2024-12-25投资9亿元；同页没有相应投后估值。科创板IPO拟募资75亿元是募资计划，不是市值或已经完成的融资估值。</t>
  </si>
  <si>
    <t>寒武纪</t>
  </si>
  <si>
    <t>云枢芯片</t>
  </si>
  <si>
    <t>把深度学习推理和训练的专用计算能力做成可部署的芯片与软件平台。</t>
  </si>
  <si>
    <t>陈天石等人来自中国科学院计算技术研究所的智能处理器研究团队，2016年将研究成果产业化。早期优势在于算法、架构和编译器协同，而非已有大规模客户。</t>
  </si>
  <si>
    <t>智能芯片研究团队离开实验室创业，试图把算法能力做成客户可部署的计算产品。</t>
  </si>
  <si>
    <t>公司围绕智能处理器架构、板卡和软件工具链开发产品。峰值算力、实际模型性能、软件适配和客户验证是不同层次的证据。</t>
  </si>
  <si>
    <t>把芯片架构和编译工具链一起做，让常用AI模型能真正跑到硬件上。</t>
  </si>
  <si>
    <t>早期依托终端和云端客户验证芯片，后续扩展训练与推理产品。单一大客户订单、流片节奏和生态兼容会共同影响商业化。</t>
  </si>
  <si>
    <t>先让具体客户在真实模型上试用，再看性能和迁移成本能否换来持续订单。</t>
  </si>
  <si>
    <t>芯片研发周期长、流片投入高；若软件生态和客户需求变化快，单代产品可能无法覆盖研发成本。</t>
  </si>
  <si>
    <t>2017年A轮公开报道为1亿美元级。该融资额不是估值；本表以新增资金占投后10%的显式情景推算进入估值。</t>
  </si>
  <si>
    <t>公司已在科创板上市；终点采用2026-10-15腾讯行情的5,641.89亿元市值。</t>
  </si>
  <si>
    <t>公开估值/市值计算：85.10倍，未计后续稀释、优先权、税费和流动性折价。</t>
  </si>
  <si>
    <t>因时机器人</t>
  </si>
  <si>
    <t>微驱科技</t>
  </si>
  <si>
    <t>把微型电动执行器做成整机厂可采购的部件。</t>
  </si>
  <si>
    <t>蔡颖鹏团队于2016年创办因时机器人，从微型伺服电缸等精密执行部件起步，后续发展灵巧手与相关执行系统。未核实个人学历不补造。</t>
  </si>
  <si>
    <t>精密机电工程团队从小型执行器开始，关注体积、推力和可制造性。</t>
  </si>
  <si>
    <t>将电驱、传动和多指机构共同设计，追求小型化和批次一致性。后续灵巧手需求放大，但早期卡片只介绍微型执行部件。</t>
  </si>
  <si>
    <t>微型电驱与传动一体设计，让有限空间也能实现可控运动。</t>
  </si>
  <si>
    <t>标准部件先服务工业及设备客户，再进入机器人整机供应链。后续交付规模与客户采购数据是复盘资料，不能提前放入2017年卡片。</t>
  </si>
  <si>
    <t>先服务工业设备和小型机器人，为重复采购建立标准规格。</t>
  </si>
  <si>
    <t>客户需要不同尺寸和寿命，标准产品能覆盖多少需求？</t>
  </si>
  <si>
    <t>原表2017 Pre-A为待核线索；未取得融资额、出让股比或投后估值，不能生成首轮倍数。</t>
  </si>
  <si>
    <t>已核2026-02-25完成C1及C2两轮合计数亿元；中国移动链长基金/深创投领投C1，北京市人工智能产业投资基金领投C2。未披露投后估值。</t>
  </si>
  <si>
    <t>深兰机器人</t>
  </si>
  <si>
    <t>城务机器人</t>
  </si>
  <si>
    <t>把清洁与移动作业做成面向园区的机器人。</t>
  </si>
  <si>
    <t>原型限定深兰机器人（上海）有限公司，依托集团技术与产业资源。集团创始人的融资经历不当作子公司的独立股权交易。主体成立于2018-05-04，以该时点描述早期能力。</t>
  </si>
  <si>
    <t>有AI研发及产业资源支持的工程团队，准备把视觉技术落到实体设备。</t>
  </si>
  <si>
    <t>将视觉感知、移动导航和机器人机构用于清洁及其他服务任务。集团宣传的技术范围不等于子公司独立产品全部能力。</t>
  </si>
  <si>
    <t>视觉感知、导航和作业机构组成服务机器人方案。</t>
  </si>
  <si>
    <t>深兰机器人上海主体2018年成立，依托集团推进服务机器人、消毒与清洁业务。2026-05-07法院受理其破产清算；职工债权公示只证明清算进展，未证明股权最终回收为零。</t>
  </si>
  <si>
    <t>集团渠道可对接园区和城市服务试点，为产品提供首批场景。</t>
  </si>
  <si>
    <t>同时铺开多个场景，试点能否转成标准验收和持续回款？</t>
  </si>
  <si>
    <t>深兰机器人（上海）有限公司成立于2018-05-04；独立首轮VC股权融资未证实。进入年改为主体成立年，原表早于成立年份的教学进入不再沿用。</t>
  </si>
  <si>
    <t>独立外部融资与最新股权估值未披露；目前可核实的是该法律主体进入破产清算程序，尚无最终股权分配结果。</t>
  </si>
  <si>
    <t>银河航天</t>
  </si>
  <si>
    <t>星联通信</t>
  </si>
  <si>
    <t>把通信载荷和卫星平台做成可批量制造的产品。</t>
  </si>
  <si>
    <t>徐鸣于2018年创办银河航天，团队吸纳卫星、通信和制造工程人员。管理创业经验与航天工程分工需分别理解。</t>
  </si>
  <si>
    <t>科技创业和卫星工程人员共同组队，想把通信卫星从单次研制推进到批量制造。</t>
  </si>
  <si>
    <t>早期需要并行验证通信载荷、卫星平台、地面链路和制造工艺。单颗卫星成功不等于可运营的通信网络。</t>
  </si>
  <si>
    <t>把通信载荷、卫星平台和地面验证放进同一套工程计划，先做出可测试的单星系统。</t>
  </si>
  <si>
    <t>以卫星研制和通信试验客户为起点，之后才能检验批量交付、频谱资源、组网与长期运营的经济性。</t>
  </si>
  <si>
    <t>先服务有明确研制或通信试验需求的客户，验证卫星交付和链路能力。</t>
  </si>
  <si>
    <t>单星技术可用之后，批量成本、频谱资源和网络运营投入如何获得并形成持续收入？</t>
  </si>
  <si>
    <t>2018年前后天使阶段的精确首轮融资金额、投后估值与新增持股比例未在本批资料中核实。</t>
  </si>
  <si>
    <t>公开报道曾提及2022年融资后的估值约110亿元，但本批未取得对应交易、投后/投前定义和后续可比终点，不能据此给出首轮回报倍数。</t>
  </si>
  <si>
    <t>智谱AI</t>
  </si>
  <si>
    <t>知衡AI</t>
  </si>
  <si>
    <t>AI应用与模型</t>
  </si>
  <si>
    <t>给企业和开发者提供可适配、可部署的大模型能力。</t>
  </si>
  <si>
    <t>智谱源于清华计算机研究成果转化。唐杰等研究者与工程、经营团队从知识工程和语言模型研究出发，探索将通用模型用于企业任务。</t>
  </si>
  <si>
    <t>计算机研究成果转化团队，尝试把语言模型接入真实的企业工作流。</t>
  </si>
  <si>
    <t>早期积累知识工程、预训练语言模型和模型服务能力；通用能力、本地部署、工具调用和项目交付成本需要分别判断。</t>
  </si>
  <si>
    <t>研究通用语言模型，并尝试让企业按自己的数据和任务进行适配。</t>
  </si>
  <si>
    <t>以企业客户和开发者为主要入口，探索模型API及私有化部署。订单金额不等于可复制的软件收入。</t>
  </si>
  <si>
    <t>先从需要私有数据和定制任务的企业场景寻找付费客户。</t>
  </si>
  <si>
    <t>客户定制需求会否使模型公司变成以人力交付为主的项目服务商？</t>
  </si>
  <si>
    <t>2019年首轮投后3.75亿元。</t>
  </si>
  <si>
    <t>2026-10-15市值2481.82亿港元，折人民币约2116.50亿元。</t>
  </si>
  <si>
    <t>公开估值/市值计算：564.40倍。</t>
  </si>
  <si>
    <t>长鑫科技</t>
  </si>
  <si>
    <t>长存科技</t>
  </si>
  <si>
    <t>在国内建设DRAM设计、制造和销售一体化能力。</t>
  </si>
  <si>
    <t>长鑫存储由合肥存储项目发展而来，朱一明等半导体产业人士参与组织。它不是轻资产设计公司，研发、产线和供应链需要同时推进。</t>
  </si>
  <si>
    <t>有存储芯片产业经验的团队，要把设计、制造和量产组织到同一条链路上。</t>
  </si>
  <si>
    <t>以DRAM工艺、产品设计和量产良率为核心，面向移动终端、电脑和服务器等用途。能流片不等于能以目标成本长期稳定供货。</t>
  </si>
  <si>
    <t>从DRAM设计到制造良率一起攻关，先证明产品能稳定量产。</t>
  </si>
  <si>
    <t>公司先投入高资本开支建设产能，再争取终端和服务器客户验证。2020年大额战略投资反映扩产融资需求，不等于当年已经形成同等规模销售。</t>
  </si>
  <si>
    <t>先拿到客户认证和批量订单，再检验重资产产线能否提高良率并摊薄成本。</t>
  </si>
  <si>
    <t>DRAM是强周期行业；若良率、设备供应或价格周期同时承压，巨额固定投入会放大经营风险。</t>
  </si>
  <si>
    <t>IT桔子当前可见的最早一笔为2020-12-16战略投资156.5亿元；该金额是新增资金，平台页未披露投后估值或增发比例。</t>
  </si>
  <si>
    <t>IT桔子列示2022-02-11战略投资186.09亿元；公司于2026年科创板上市。终点采用2026-10-15腾讯行情显示的约2.959万亿元市值，而非把任一融资额当估值。</t>
  </si>
  <si>
    <t>公开估值/市值计算：18.91倍，未计后续稀释、优先权、税费和流动性折价。</t>
  </si>
  <si>
    <t>国盾量子</t>
  </si>
  <si>
    <t>量盾通信</t>
  </si>
  <si>
    <t>量子科技</t>
  </si>
  <si>
    <t>把量子密钥分发设备和量子保密通信网络做成可交付的系统。</t>
  </si>
  <si>
    <t>国盾量子源自中国科学技术大学量子信息研究成果转化，团队长期积累量子通信设备、网络和工程部署经验。</t>
  </si>
  <si>
    <t>量子信息研究成果转化团队，尝试把实验室里的保密通信能力做成工程系统。</t>
  </si>
  <si>
    <t>公司围绕量子密钥分发、量子随机数和网络设备开发产品。实验演示、单设备性能、组网可靠性与客户预算是不同验证环节。</t>
  </si>
  <si>
    <t>用量子密钥分发和网络设备，为高安全通信提供新的工程方案。</t>
  </si>
  <si>
    <t>早期主要面向政企和科研网络项目销售设备和系统服务。项目收入能否复制、运维成本和标准化程度决定业务质量。</t>
  </si>
  <si>
    <t>先在对安全要求高的网络中部署，验证设备稳定性和客户的持续采购意愿。</t>
  </si>
  <si>
    <t>客户需求集中且项目制特征强；量子通信网络的扩张速度可能慢于研发和运维投入。</t>
  </si>
  <si>
    <t>早期民间融资的完整投后估值未取得。本表使用2020年IPO发行价作为可公开复核的进入价格，而不伪造创业期估值。</t>
  </si>
  <si>
    <t>终点使用2026-10-15科创板收盘市值约228.75亿元。</t>
  </si>
  <si>
    <t>公开估值/市值计算：7.87倍，未计后续稀释、优先权、税费和流动性折价。</t>
  </si>
  <si>
    <t>达闼机器人</t>
  </si>
  <si>
    <t>云行机器人</t>
  </si>
  <si>
    <t>把云端计算和本地机器人连成服务系统。</t>
  </si>
  <si>
    <t>原型限定达闼机器人（北京）有限公司，依托集团技术与产业资源。集团创始人的融资经历不当作子公司的独立股权交易。主体成立于2020-09-27，以该时点描述早期能力。</t>
  </si>
  <si>
    <t>有通信系统和机器人研发背景的产业团队，尝试把云服务经验用于实体设备。</t>
  </si>
  <si>
    <t>云端平台与本地机器人协同，涉及网络、感知、控制及运维。云端更新不能替代端侧实时安全和现场可靠性。</t>
  </si>
  <si>
    <t>云端更新任务和算法，本地设备负责感知、控制与断网保护。</t>
  </si>
  <si>
    <t>集团以云端机器人为方向推进企业项目，北京子公司2020-09成立。2025-10-10北京市房山区法院受理北京子公司破产清算申请；不得据此推定集团全部主体估值为零。</t>
  </si>
  <si>
    <t>通过产业渠道对接园区及企业客户，探索设备与服务结合的收费。</t>
  </si>
  <si>
    <t>网络条件和现场集成变化大，系统是否能独立稳定运行？</t>
  </si>
  <si>
    <t>达闼机器人（北京）有限公司成立于2020-09-27；独立首轮VC股权融资未证实。进入年改为主体成立年，原表早于成立年份的教学进入不再沿用。</t>
  </si>
  <si>
    <t>盈合机器人</t>
  </si>
  <si>
    <t>工序机器人</t>
  </si>
  <si>
    <t>把机器人装进工业和城市服务流程。</t>
  </si>
  <si>
    <t>沈岗具有东京工业大学机械博士、发那科及博智林工作经历，2020年在深圳创办盈合，带有盈峰集团产业背景。原型是工业自动化和城市服务机器人公司，不是四足公司。</t>
  </si>
  <si>
    <t>有大型自动化企业和建筑机器人经验的工程管理团队，依托产业股东创业。</t>
  </si>
  <si>
    <t>以AI、IoT、Robot组合面向工业、应急管理和城市治理，重点在系统与具体工序集成。多产品线不等于共用同一交付成本结构。</t>
  </si>
  <si>
    <t>把机器人、感知和物联网平台连接到具体作业流程。</t>
  </si>
  <si>
    <t>成立于2020-03，初期从应急管理、城市治理与智能制造切入；2021年A轮融资约4亿元后多线扩张。2026年进入破产程序。截至2026-10-15尚未召开首次债权人会议，没有最终普通股回收证据。</t>
  </si>
  <si>
    <t>产业资源可对接制造、应急及城市治理项目，提供首批客户入口。</t>
  </si>
  <si>
    <t>项目横跨多个行业，定制投入能否被重复订单覆盖？</t>
  </si>
  <si>
    <t>2020年天使轮整轮超9000万元；熊猫资本单家投资7000万元，不能把单家金额写为整轮。投后估值未直接核实。</t>
  </si>
  <si>
    <t>2021-01 A轮约4亿元、当时估值约5亿美元（33亿元人民币）；2024-05有新融资，估值未披露。2026年已进入破产程序；首次债权人会议定于2026-10-19，晚于本次基准日。</t>
  </si>
  <si>
    <t>蓝点触控</t>
  </si>
  <si>
    <t>触衡科技</t>
  </si>
  <si>
    <t>让机械臂知道接触时用了多大的力。</t>
  </si>
  <si>
    <t>刘吴月具有西北工业大学与航天力测研发背景，2019年创办蓝点触控。团队从六维力传感器及控制应用切入。</t>
  </si>
  <si>
    <t>有航天力测与传感研发经验的团队，把精密测量能力带入机器人。</t>
  </si>
  <si>
    <t>六维力传感测量力和力矩，涉及结构、应变测量、补偿和标定，连接机器人接触控制。它与大面积触觉阵列属于不同感知路线。</t>
  </si>
  <si>
    <t>测量多个方向的力和力矩，帮助机械臂调整接触动作。</t>
  </si>
  <si>
    <t>早期面向打磨、去毛刺等工业工艺，后续拓展机器人力控需求。真实价值要看工艺稳定性、调试和维护成本。</t>
  </si>
  <si>
    <t>先做打磨、去毛刺等工序，让客户直接比较工艺效果。</t>
  </si>
  <si>
    <t>温漂和标定影响精度，每个工位还要投入多少调试？</t>
  </si>
  <si>
    <t>IT桔子列2020-05-08天使轮，金额未透露；用户20倍对应起点2.6亿为倒算，不可声称为公开天使轮估值。</t>
  </si>
  <si>
    <t>IT桔子列2023-06-27 Pre-A数千万、2024-08-01 A数千万、2025-07-16 B近亿、2025-11-19 C 1亿元、2026-08-17 D数亿元；用户另确认最新估值52亿元。</t>
  </si>
  <si>
    <t>用户人工确认：20.00倍，未计后续稀释、优先权、税费和流动性折价。</t>
  </si>
  <si>
    <t>沐曦</t>
  </si>
  <si>
    <t>晨炬芯片</t>
  </si>
  <si>
    <t>为数据中心提供国产GPU及配套软件平台。</t>
  </si>
  <si>
    <t>陈维良、彭莉等创始成员有国际GPU厂商研发与管理经历，2020年创办沐曦。早期要同时搭建芯片设计、软件和客户支持团队。</t>
  </si>
  <si>
    <t>GPU研发和管理老将联合创业，想把芯片和软件一起交到数据中心客户手中。</t>
  </si>
  <si>
    <t>公司研发GPU、驱动、编译和软件平台；算力指标只有与兼容性、稳定性和实际工作负载共同验证才有商业意义。</t>
  </si>
  <si>
    <t>从芯片设计到驱动软件一起做，减少客户迁移计算任务的成本。</t>
  </si>
  <si>
    <t>早期面对国内数据中心的算力需求寻找部署机会，后续推进产品和资本市场准备。该卡片将用户确认的2025年Pre-IPO估值锁为终点，不自动改写为后续市值。</t>
  </si>
  <si>
    <t>先让数据中心客户在真实工作负载上试用，再看兼容性和长期供应能否形成订单。</t>
  </si>
  <si>
    <t>首代产品的性能、量产和软件生态都需验证，研发投入会在收入形成前持续消耗现金。</t>
  </si>
  <si>
    <t>2020-10天使轮投后4.80亿元。</t>
  </si>
  <si>
    <t>2026-10-15市值1748.04亿元。</t>
  </si>
  <si>
    <t>公开估值/市值计算：364.18倍。</t>
  </si>
  <si>
    <t>摩尔线程</t>
  </si>
  <si>
    <t>众芯计算</t>
  </si>
  <si>
    <t>开发兼顾图形、AI和通用计算的国产GPU及软件生态。</t>
  </si>
  <si>
    <t>张建中有英伟达中国管理经历，2020年创办摩尔线程。团队同时覆盖GPU架构、驱动、编译器和系统软件，组织复杂度高于单一芯片设计项目。</t>
  </si>
  <si>
    <t>GPU研发和管理人员联合创业，要把芯片、驱动和开发工具做成一整套平台。</t>
  </si>
  <si>
    <t>公司开发全功能GPU及配套软件生态，面向图形渲染和智算工作负载。规格宣传不等于客户应用已完成迁移和稳定部署。</t>
  </si>
  <si>
    <t>硬件架构、驱动和开发工具同步开发，先降低客户迁移应用的难度。</t>
  </si>
  <si>
    <t>公司从国产图形和行业计算需求切入，再向智算系统拓展。客户适配成本、软件生态和持续流片融资决定商业化速度。</t>
  </si>
  <si>
    <t>先服务有国产替代需求的行业伙伴，验证应用能否在新GPU和软件栈上稳定运行。</t>
  </si>
  <si>
    <t>GPU生态迁移成本高，若开发工具和客户支持不足，再高的硬件指标也可能难以形成规模订单。</t>
  </si>
  <si>
    <t>2020年天使轮投后16.46亿元。</t>
  </si>
  <si>
    <t>2026-10-15市值1668.60亿元。</t>
  </si>
  <si>
    <t>公开估值/市值计算：101.37倍。</t>
  </si>
  <si>
    <t>帕西尼</t>
  </si>
  <si>
    <t>触知科技</t>
  </si>
  <si>
    <t>让机器人的手指感知物体接触的变化。</t>
  </si>
  <si>
    <t>许晋诚具有早稻田大学仿生机器人博士背景，2021年创办帕西尼，早期参加创业孵化与融资。团队从触觉感知延伸到操作硬件。</t>
  </si>
  <si>
    <t>仿生机器人研究者与传感工程团队合作，从触觉这一窄问题创业。</t>
  </si>
  <si>
    <t>多维触觉感知与机器人结构、控制协同，关注接触分布和操作反馈。与六维腕部力传感区分，不能只按“有触觉”宣称泛化抓取。</t>
  </si>
  <si>
    <t>把接触信息分布到多个感知点，辅助控制抓取力度。</t>
  </si>
  <si>
    <t>先服务研发和机器人产品团队，再拓展操作硬件及场景合作。客户验证、传感器寿命与制造成本决定可复制交付。</t>
  </si>
  <si>
    <t>先为机器人研发团队提供传感器，验证不同物体的抓取。</t>
  </si>
  <si>
    <t>传感点越多，标定、布线和长期可靠性会增加多少成本？</t>
  </si>
  <si>
    <t>2021-11-25媒体披露数百万元天使轮，奇绩创坛领投。未见帕西尼个别合同；可参考奇绩公开标准30万美元换7%估算早期投后约428.57万美元，按约6.45元/美元折合0.2764亿元人民币，仅是有来源的代理估算。</t>
  </si>
  <si>
    <t>2026-03-06公开B轮超10亿元人民币、投后估值超100亿元；2026-09仍有B++融资记录但未核新估值，采用最新已披露估值下限100亿元，不把融资额相加当估值。</t>
  </si>
  <si>
    <t>可复核估算：361.76倍，未计后续稀释、优先权、税费和流动性折价。</t>
  </si>
  <si>
    <t>毫末智行</t>
  </si>
  <si>
    <t>远途智驾</t>
  </si>
  <si>
    <t>把辅助驾驶算法接入量产车，并用道路数据迭代产品。</t>
  </si>
  <si>
    <t>毫末由长城汽车智能驾驶业务分拆，顾维灏等团队结合算法与汽车工程经验创业。产业股东提供车型入口，也使客户集中度成为早期关键变量。</t>
  </si>
  <si>
    <t>从整车企业智能驾驶业务分拆的团队，既懂算法，也熟悉量产开发流程。</t>
  </si>
  <si>
    <t>公司推进感知、规划、控制和数据闭环，用于量产辅助驾驶与低速自动驾驶。数据量本身不能代替安全、成本和独立客户验证。</t>
  </si>
  <si>
    <t>让感知、规划和车辆控制一起迭代，先在量产车型上检验效果。</t>
  </si>
  <si>
    <t>早期依托长城车型开展产品部署，并尝试拓展外部客户。2025年媒体报道全员停工，属于严重经营挫折；该事实不能自动推出法院破产或普通股已按零清偿。</t>
  </si>
  <si>
    <t>有产业股东带来的首批车型入口，但还要证明能在更多车企复制订单。</t>
  </si>
  <si>
    <t>如果外部客户拓展和现金流跟不上研发投入，单一产业股东的订单很难支撑独立公司的融资与运营。</t>
  </si>
  <si>
    <t>2021年A轮公开报道约10亿元，但未获当轮投后估值或新增持股比例。</t>
  </si>
  <si>
    <t>截至截止日，可核的核心终点事实是2025年全员停工报道；未取得法院破产裁定、重整清偿方案或普通股实际退出价格。</t>
  </si>
  <si>
    <t>辉羲智能</t>
  </si>
  <si>
    <t>曜行芯算</t>
  </si>
  <si>
    <t>把车载大算力芯片与软件工具链一起做，降低高阶智能驾驶的开发门槛。</t>
  </si>
  <si>
    <t>徐宁仪、贺光辉、章健勇于2022年4月联合创立辉羲，团队结合芯片架构、高校研发和车企自动驾驶经验。</t>
  </si>
  <si>
    <t>芯片架构研究者与车企自动驾驶负责人联合创业，横跨芯片设计与上车需求。</t>
  </si>
  <si>
    <t>面向车规大算力芯片研发，同时规划开放工具链与自动驾驶软件；性能、功耗、工具链成熟度与功能安全需共同验证。</t>
  </si>
  <si>
    <t>同时研发计算芯片与工具链，尝试减少自动驾驶算法迁移与适配的工作。</t>
  </si>
  <si>
    <t>初期以车载计算平台为目标，与整车厂和汽车供应链对接，车规定点、验证及量产周期长。</t>
  </si>
  <si>
    <t>围绕车厂下一代智能驾驶平台争取设计导入，再走向量产供货。</t>
  </si>
  <si>
    <t>芯片流片投入大，上车周期长，整车厂自研与成熟供应商同时竞争。</t>
  </si>
  <si>
    <t>用户确认首轮估值2亿元人民币。公开2022-12-08报道天使+融资超5000万美元、估值2亿美元；这是不同轮次与币种，不能据此验证人民币2亿元首轮。</t>
  </si>
  <si>
    <t>用户确认最新估值80亿元人民币；公开2025-01-08报道A1轮（亦庄产投领投），未公开验证该轮80亿元。</t>
  </si>
  <si>
    <t>用户人工确认：40.00倍，未计后续稀释、优先权、税费和流动性折价。</t>
  </si>
  <si>
    <t>MiniMax</t>
  </si>
  <si>
    <t>语镜智能</t>
  </si>
  <si>
    <t>用多模态通用模型服务对话、内容创作和智能体任务。</t>
  </si>
  <si>
    <t>闫俊杰等创始成员有深度学习研究和互联网工程背景，2022年创办MiniMax。早期团队需要同时建立模型能力、产品入口和高成本算力组织。</t>
  </si>
  <si>
    <t>模型研究和产品工程背景的团队，想把通用模型变成用户愿意反复使用的服务。</t>
  </si>
  <si>
    <t>公司探索文本、语音、图像等多模态模型与交互产品。模型榜单、用户留存、推理成本和开发者调用量不能互相替代。</t>
  </si>
  <si>
    <t>让文字、语音和图像模型共享能力，再验证它能否完成用户愿意付费的具体任务。</t>
  </si>
  <si>
    <t>从面向消费者的AI产品和开发者服务寻找入口。增长数据只有在订阅、API收入和算力成本可覆盖时才构成商业闭环。</t>
  </si>
  <si>
    <t>先从创作和对话等高频任务获得试用，再看用户是否持续付费。</t>
  </si>
  <si>
    <t>基础模型的训练和推理成本很高；模型能力快速同质化时，获客成本和价格压力可能同步上升。</t>
  </si>
  <si>
    <t>公开报道的早期天使轮为1,000万美元级；投后估值未披露。本表用10%新增持股假设还原估值，不把融资额本身当估值。</t>
  </si>
  <si>
    <t>公开媒体在2024年B轮融资时报道公司估值约25亿美元；由于未取得2026年可核的同主体新一轮投后估值，本表停在该最后可复核公开估值点。</t>
  </si>
  <si>
    <t>公开估值/市值计算：25.00倍，未计后续稀释、优先权、税费和流动性折价。</t>
  </si>
  <si>
    <t>智元机器人</t>
  </si>
  <si>
    <t>行知机器人</t>
  </si>
  <si>
    <t>把人形样机做成能制造、能训练的机器人平台。</t>
  </si>
  <si>
    <t>邓泰华具有华为产业管理经历，彭志辉具有电子工程与华为研发背景，2023年联合创办智元。组织同时吸纳机器人、算法和制造团队。</t>
  </si>
  <si>
    <t>大型科技企业的产业管理人员与长期钻研机电产品的工程师联合创业。</t>
  </si>
  <si>
    <t>从关节及人形本体扩展到移动操作、数据采集和具身模型平台。全栈研发有利于联调，也增加工程和产品组合管理成本。</t>
  </si>
  <si>
    <t>关节、整机控制和软件协同设计，缩短样机迭代周期。</t>
  </si>
  <si>
    <t>早期依托产业伙伴开展工厂与商业场景试点，后续推出多类平台并扩大交付。交付台数不能直接代表持续任务收入或投资退出。</t>
  </si>
  <si>
    <t>从科研平台与工厂试点切入，由产业伙伴提供场景和制造资源。</t>
  </si>
  <si>
    <t>同时推进本体和软件，量产投入能否匹配可付费任务？</t>
  </si>
  <si>
    <t>2023年3月天使轮；中国经营报已核到时间，但金额、转让比例及投后估值未公开核实。</t>
  </si>
  <si>
    <t>2025年3月腾讯领投新一轮融资已完成工商变更，媒体披露估值150亿元；2026年10月13日报道约500亿元新融资接近收尾，尚不按已完成处理。</t>
  </si>
  <si>
    <t>星动纪元</t>
  </si>
  <si>
    <t>衡步机器人</t>
  </si>
  <si>
    <t>让人形机器人在走动和操作时保持稳定。</t>
  </si>
  <si>
    <t>陈建宇来自清华交叉信息研究院机器人学习与控制研究体系。2023年创办星动纪元，团队同时建设算法、关节与整机工程能力。</t>
  </si>
  <si>
    <t>机器人学习研究者与关节、控制工程人员合作，把实验室策略装进自研本体。</t>
  </si>
  <si>
    <t>采用强化学习和运动控制协同路线，研发人形本体、关节与灵巧操作系统。视频中的动态动作仅证明特定条件下的能力。</t>
  </si>
  <si>
    <t>用学习控制与关节设计共同提高运动稳定性。</t>
  </si>
  <si>
    <t>研发平台与产业试点为起步入口，后续融资支持硬件、数据与任务验证。商业评价仍需要任务节拍、维护成本和复购。</t>
  </si>
  <si>
    <t>先提供科研平台，和场景伙伴验证搬运等任务。</t>
  </si>
  <si>
    <t>动态演示能否转化为长时间运行和可接受的故障率？</t>
  </si>
  <si>
    <t>2023年下半年至2024年初种子轮数千万元，世纪金源领投、图灵创投跟投；精确交割月份和投后估值未披露。</t>
  </si>
  <si>
    <t>2026年7月6日披露完成10亿元融资；2026年3月已披露估值超100亿元，4月超2亿美元融资，7月最新轮未给新估值。</t>
  </si>
  <si>
    <t>星海图</t>
  </si>
  <si>
    <t>双行平台</t>
  </si>
  <si>
    <t>把双臂、底盘和数据采集做成机器人开发平台。</t>
  </si>
  <si>
    <t>高继扬具有清华本科、南加州大学博士及自动驾驶技术管理经历，2023年创办星海图。团队结合机器人研究和产品工程。</t>
  </si>
  <si>
    <t>有自动驾驶研发与机器人研究经验的团队，熟悉感知、控制和系统集成。</t>
  </si>
  <si>
    <t>软硬一体开发双臂移动平台、遥操作与学习系统，借真实数据改进操作策略。数据质量和任务覆盖比设备数量更重要。</t>
  </si>
  <si>
    <t>本体、遥操作和学习软件共同设计，让采集数据能直接用于训练。</t>
  </si>
  <si>
    <t>早期开发平台服务研究及产业客户，后续向具身模型和应用验证延伸。硬件销售与持续任务收入应分开评价。</t>
  </si>
  <si>
    <t>先向研究团队与产业伙伴提供开发平台和数据采集工具。</t>
  </si>
  <si>
    <t>研发平台卖得出去，能否进一步支持客户的生产任务？</t>
  </si>
  <si>
    <t>2023年天使首轮交割，2024年初后续交割；公开融资为千万美元级，未取得首轮精确金额、比例和投后估值。不重复计算跨年交割。</t>
  </si>
  <si>
    <t>2026年4月2日B+轮近20亿元已完成；科创板日报核到投后估值突破200亿元，累计融资近50亿元是另一口径。</t>
  </si>
  <si>
    <t>月之暗面Kimi</t>
  </si>
  <si>
    <t>星光AI</t>
  </si>
  <si>
    <t>用长上下文模型帮助用户阅读、整理和处理复杂信息。</t>
  </si>
  <si>
    <t>杨植麟、周昕宇、吴育昕于2023年创办月之暗面。团队来自自然语言处理研究和互联网产品工程背景，选择把模型能力先做成面向普通用户的助手。</t>
  </si>
  <si>
    <t>来自大模型研究和产品工程背景的团队，想把复杂信息处理做成每个人都能使用的助手。</t>
  </si>
  <si>
    <t>早期以长上下文和文档处理建立产品辨识度；模型可处理的长度、答案可靠性和推理成本需要分别验证。</t>
  </si>
  <si>
    <t>尝试让模型一次阅读较长的材料，帮助用户提取信息和组织思路。</t>
  </si>
  <si>
    <t>2023年完成天使、Pre-A融资，随后推出Kimi。面向个人的使用增长、订阅转化、API收入和推理成本是不同经营指标。</t>
  </si>
  <si>
    <t>从读论文、看报告和整理长文档等明确任务切入，先验证用户会不会持续使用。</t>
  </si>
  <si>
    <t>长文本能力会否快速同质化，以及用户增长能否覆盖持续的模型训练和推理成本？</t>
  </si>
  <si>
    <t>2023-06天使轮投后3亿美元。</t>
  </si>
  <si>
    <t>2026-10-06最新已完成私募估值约500亿美元。</t>
  </si>
  <si>
    <t>公开估值计算：166.67倍。</t>
  </si>
  <si>
    <t>VAST</t>
  </si>
  <si>
    <t>立物智能</t>
  </si>
  <si>
    <t>用文字和图片快速生成可编辑的三维资产。</t>
  </si>
  <si>
    <t>VAST/Tripo由AI与三维图形研发团队于2023年前后创办。该案例对应Tripo 3D生成产品，不是GPU租赁平台vast.ai或美国航天公司Vast。</t>
  </si>
  <si>
    <t>AI和图形工程团队，想把三维资产制作的第一步变得更快。</t>
  </si>
  <si>
    <t>将文本和图片输入转化为三维几何与纹理；视觉效果、拓扑、材质一致性和后续可编辑性是不同能力。</t>
  </si>
  <si>
    <t>让创作者先用文字或图片生成三维初稿，再检验它是否能进入制作流程。</t>
  </si>
  <si>
    <t>以网页工具和API服务创作者、游戏及设计开发者，探索订阅或调用计费。试用量不能代替持续付费。</t>
  </si>
  <si>
    <t>先让有建模需求的创作者试用，观察生成资产能否减少真实制作时间。</t>
  </si>
  <si>
    <t>若生成结果仍需大量重拓扑和修材质，工具节省的时间是否足以形成付费？</t>
  </si>
  <si>
    <t>公开可检索资料尚未核到与Tripo主体一致的首轮投后估值；不得把媒体提及的融资金额直接作为公司估值。</t>
  </si>
  <si>
    <t>截至截止日，未核到同一主体、可复算的最新投后估值或公开市值。</t>
  </si>
  <si>
    <t>无问芯穹</t>
  </si>
  <si>
    <t>众算平台</t>
  </si>
  <si>
    <t>让大模型更容易在不同厂商的芯片与算力上运行。</t>
  </si>
  <si>
    <t>无问芯穹于2023年成立，汪玉、曾书霖、戴国浩等来自芯片、系统及异构计算研究与工程背景。团队从模型与硬件之间的适配问题切入。</t>
  </si>
  <si>
    <t>芯片、系统和算法背景的团队，试图降低模型迁移到不同硬件上的工程摩擦。</t>
  </si>
  <si>
    <t>围绕异构算力适配、资源调度和模型服务构建基础设施。兼容多种芯片不表示各模型都有相同性能或成本。</t>
  </si>
  <si>
    <t>把模型执行、资源调度和不同硬件的适配放入同一套平台。</t>
  </si>
  <si>
    <t>先服务模型团队和算力运营方，帮助降低迁移与闲置成本。利用率、客户留存、单位成本与融资规模须分开看。</t>
  </si>
  <si>
    <t>从需要同时使用模型和算力的研发团队开始，验证平台能否少花时间、少闲置机器。</t>
  </si>
  <si>
    <t>面对多种芯片持续适配的工程投入，平台毛利能否覆盖并形成迁移壁垒？</t>
  </si>
  <si>
    <t>IT桔子记录：2023-08-21天使轮“数千万人民币”，红杉中国、北极光创投、金沙江创投等参与；未披露投后估值。</t>
  </si>
  <si>
    <t>IT桔子新闻记录：2026-10-12完成23亿元C轮融资；同页没有披露投后估值。2024-09-02 A轮近5亿元也不能被当作估值。</t>
  </si>
  <si>
    <t>光轮智能</t>
  </si>
  <si>
    <t>仿境数据</t>
  </si>
  <si>
    <t>在虚拟环境中生成机器人训练用的场景和数据。</t>
  </si>
  <si>
    <t>2023年创办的光轮智能由仿真、AI及产品工程团队组成，早期获辰韬、奇绩等支持。个人学历和未核实职位不编造。</t>
  </si>
  <si>
    <t>有仿真、AI与工程产品经验的团队，从客户反复搭建实验环境的成本切入。</t>
  </si>
  <si>
    <t>以仿真资产、合成数据与评测构建训练基础设施。物理有效性、任务覆盖和真机迁移是核心指标，渲染质量不等于训练可用。</t>
  </si>
  <si>
    <t>制作可交互资产和物理场景，配合评测比较策略效果。</t>
  </si>
  <si>
    <t>面向机器人及相关研发客户提供数据和仿真产品，后续扩展订单和交付。2026年公司宣传Q1订单超1亿美元不当作确认收入。</t>
  </si>
  <si>
    <t>先为机器人研发团队提供场景、数据和评测服务。</t>
  </si>
  <si>
    <t>虚拟结果若不能迁移到真机，客户会继续为数据付费吗？</t>
  </si>
  <si>
    <t>2023年7月前完成种子、天使、天使+三轮，累计数千万元；具体种子金额及对应估值未披露，累计金额不能用于假装单轮估值。</t>
  </si>
  <si>
    <t>2026年5月25日蚂蚁领投新轮已完成，公开估值超过20亿美元；6月另有10亿元战略融资检索线索但未在本批取得权威新估值，因此保留5月最近可核估值。</t>
  </si>
  <si>
    <t>首形科技</t>
  </si>
  <si>
    <t>映颜科技</t>
  </si>
  <si>
    <t>零部件</t>
  </si>
  <si>
    <t>把仿生面部与交互算法结合，让机器人能够用表情回应人。</t>
  </si>
  <si>
    <t>胡宇航在哥伦比亚大学从事机器人与机器学习研究，2024年6月在上海创办首形科技，从仿生面部和情感交互切入。</t>
  </si>
  <si>
    <t>研究机器人面部与机器学习的海归博士，从可表达情绪的仿生面部切入创业。</t>
  </si>
  <si>
    <t>通过面部机构、驱动、柔性外覆材料和视觉学习协同，实现表情控制与交互；不是以灵巧手或通用搬运为主要切口。</t>
  </si>
  <si>
    <t>把面部机构、柔性材料与视觉学习结合，尝试让机器人的表情更自然。</t>
  </si>
  <si>
    <t>创办初期选择情感交互与仿生角色机器人路线，拟面向接待、展示和交互体验场景；不能把后续融资或演示热度当作早期收入。</t>
  </si>
  <si>
    <t>先面向展陈、接待与交互体验寻找愿意为仿生表达付费的客户。</t>
  </si>
  <si>
    <t>自然表情能否转化为重复购买？仿生材料寿命、噪声与维护成本仍需实测。</t>
  </si>
  <si>
    <t>2024年10月获得德迅投资、奇绩创坛、Taihill和智元机器人天使投资；首轮估值未公开核实。</t>
  </si>
  <si>
    <t>2026-04-07宣布完成数亿元A1轮，华控基金与某互联网大厂联合领投；轮次融资额不等于估值。</t>
  </si>
  <si>
    <t>用户人工确认：80.00倍，未计后续稀释、优先权、税费和流动性折价。</t>
  </si>
  <si>
    <t>千寻智能</t>
  </si>
  <si>
    <t>通序智能</t>
  </si>
  <si>
    <t>把机器人学会的操作迁移到更多工位。</t>
  </si>
  <si>
    <t>韩峰涛具备工业机器人创业经验，高阳来自清华及强化学习研究体系。2024年创办千寻，希望连接操作模型与工业机器人产品化。</t>
  </si>
  <si>
    <t>工业机器人创业者与强化学习研究者联合，兼顾工厂节拍和学习算法。</t>
  </si>
  <si>
    <t>探索多任务操作模型、真机数据采集和本体协同。跨场景复用要由实际任务成功率、数据量及生产节拍共同验证。</t>
  </si>
  <si>
    <t>把动作数据、学习模型和机器人控制放在同一套训练流程里。</t>
  </si>
  <si>
    <t>从工业操作验证和场景合作开始，后续融资扩大数据与工程投入。工位试点不等于已形成标准化的大规模收入。</t>
  </si>
  <si>
    <t>先与工业伙伴做重复操作任务，验证换物品和换工位的适应能力。</t>
  </si>
  <si>
    <t>每个新任务若仍需大量采集数据，模型能否形成规模优势？</t>
  </si>
  <si>
    <t>2024年种子与天使融资合计近2亿元；属于两轮累计，不能作为单轮投资金额。顺为参与种子轮已由经济参考报核实；首轮估值未披露。</t>
  </si>
  <si>
    <t>2026年4月7日宣布完成10亿元融资，南都记者披露该轮投后估值200亿元；不是把融资10亿当估值。</t>
  </si>
  <si>
    <t>极佳视界</t>
  </si>
  <si>
    <t>景行智能</t>
  </si>
  <si>
    <t>让机器从视频里学会预测动作后的变化。</t>
  </si>
  <si>
    <t>黄冠具有微软、三星等视觉与AI研发经历，2023年创办极佳视界。早期从空间智能切入，后续向世界模型、具身模型与本体协同扩展。</t>
  </si>
  <si>
    <t>有大型科技企业视觉研发经验的团队，把空间理解研究转向机器人。</t>
  </si>
  <si>
    <t>以视频和交互数据构建世界模型，研究动作后的场景变化，再与策略和真机反馈闭环结合。画面质量与闭环控制效果是两项指标。</t>
  </si>
  <si>
    <t>以视频学习场景变化，为机器人动作提供可预测的环境表征。</t>
  </si>
  <si>
    <t>早期面向空间智能及机器人合作验证，后续投入数据、模型与硬件工程。模型演示与付费交付、客户重复使用仍需分开核验。</t>
  </si>
  <si>
    <t>先与机器人开发团队合作，验证模型是否减少场景数据采集。</t>
  </si>
  <si>
    <t>生成画面像真的，是否就能支持可靠的动作决策？</t>
  </si>
  <si>
    <t>最早种子由辰韬投资、数千万元且未披露估值；本游戏采用2024年天使轮可核实入口：华民投崔斌公开确认投资时估值1亿元。不是将后来的5000万元两轮合计直接作估值。</t>
  </si>
  <si>
    <t>2026年4月近15亿元B1轮已完成、估值超过100亿元；2026年9月约200亿元投前Pre-IPO轮仍为即将交割口径。本测算用已完成B1公开估值下限100亿元。</t>
  </si>
  <si>
    <t>公开估值/市值计算：100.00倍，未计后续稀释、优先权、税费和流动性折价。</t>
  </si>
  <si>
    <t>灵初智能</t>
  </si>
  <si>
    <t>巧序智能</t>
  </si>
  <si>
    <t>让机器人学会处理需要手指配合的操作。</t>
  </si>
  <si>
    <t>2024年设立的灵初智能由王启斌与柴晓杰、杨耀东、陈源培等研究及工程团队组成。创始人与同名或相近品牌区分，不沿用未核实的个人履历。</t>
  </si>
  <si>
    <t>机器人操作与强化学习研究者共同创业，围绕手部动作建立实验和工程团队。</t>
  </si>
  <si>
    <t>围绕灵巧操作、数据采集、强化学习和真机系统迭代，尝试提升复杂接触任务的泛化能力。演示任务不能代表全天候生产能力。</t>
  </si>
  <si>
    <t>把灵巧操作数据、学习策略与执行机构一起迭代。</t>
  </si>
  <si>
    <t>先以研发合作与具体操作任务验证产品，后续融资支持数据和系统建设。客户合同、付费规模和单任务经济性未统一核验。</t>
  </si>
  <si>
    <t>先在可重复的操作任务上验证，为本体及场景伙伴提供能力。</t>
  </si>
  <si>
    <t>接触变化多，新增物品是否会显著增加训练与调试成本？</t>
  </si>
  <si>
    <t>2024—2025年种子阶段投资方包括高瓴、蓝驰、智元等；单轮金额和投后估值未披露。</t>
  </si>
  <si>
    <t>2026年3月天使与Pre-A合计20亿元、4月国投先导等新轮；7月市场消息14.8亿美元融资仍接近完成，不作为已完成确认终点。60倍沿用用户基于真实投资的人工确认。</t>
  </si>
  <si>
    <t>用户人工确认：60.00倍，未计后续稀释、优先权、税费和流动性折价。</t>
  </si>
  <si>
    <t>硅基流动</t>
  </si>
  <si>
    <t>推理工坊</t>
  </si>
  <si>
    <t>让开发者用更少工程成本调用开源模型推理服务。</t>
  </si>
  <si>
    <t>袁进辉具有深度学习系统和工程产品经验，团队在2023年创办硅基流动，围绕模型推理效率与服务化展开。</t>
  </si>
  <si>
    <t>做过深度学习系统和工程产品的团队，想把模型运行效率变成开发者可直接使用的服务。</t>
  </si>
  <si>
    <t>推理引擎、模型适配、调度与服务接口共同决定成本和体验。延迟、吞吐、稳定性和单位成本必须在真实负载下比较。</t>
  </si>
  <si>
    <t>优化推理引擎和资源调度，尝试用统一接口接入多类开源模型。</t>
  </si>
  <si>
    <t>从API和开发者使用切入，后续再验证企业接入、留存和毛利。调用量不能直接等同收入。</t>
  </si>
  <si>
    <t>让开发者先用API部署模型，观察是否真能减少自建和运维工作。</t>
  </si>
  <si>
    <t>模型和算力同行同步降价时，增长的调用量是否还能留下足够毛利？</t>
  </si>
  <si>
    <t>2024-01天使轮投后2.8亿元。</t>
  </si>
  <si>
    <t>2026-06 B+首轮后投后77.4亿元。</t>
  </si>
  <si>
    <t>公开估值计算：27.64倍。</t>
  </si>
  <si>
    <t>德塔智能</t>
  </si>
  <si>
    <t>全身智能</t>
  </si>
  <si>
    <t>为人形机器人训练能调动双手、躯干与双腿的基础模型。</t>
  </si>
  <si>
    <t>2026年1月成立，由北京通用人工智能研究院（BIGAI）孵化，创始人兼CEO马晓健；团队围绕人形机器人基础模型、3D世界建模与全身协同操作创业。</t>
  </si>
  <si>
    <t>通用人工智能研究机构孵化的团队，选择为人形机器人研发通用的全身操作模型。</t>
  </si>
  <si>
    <t>早期方向为原生人形机器人基础模型，结合自主3D世界引擎研究全身协同操作；后续Delta D1采集第一人称全景与全身关节轨迹，是数据体系的后续验证，不能写进首轮卡片。</t>
  </si>
  <si>
    <t>把3D世界建模与动作学习结合，让双臂、躯干和双腿协同完成操作。</t>
  </si>
  <si>
    <t>以本体厂商和工业场景合作为早期验证路径；2026年7月近5亿元天使++轮用于模型、数据闭环和研发团队。融资不等于已形成收入。</t>
  </si>
  <si>
    <t>先和机器人本体团队联合验证，将模型能力适配到不同硬件平台。</t>
  </si>
  <si>
    <t>全身交互的数据成本高；跨本体适配能否减少重复训练和现场调试？</t>
  </si>
  <si>
    <t>2026年1月创办；4月前已完成三轮超亿元融资。用户直接确认按真实投资最新估值计算8倍，未提供逐轮估值或分子分母。</t>
  </si>
  <si>
    <t>2026年7月28日披露近5亿元天使++轮、成立半年第六轮融资；这是融资额，不是公司估值。回报8倍沿用用户确认。</t>
  </si>
  <si>
    <t>用户人工确认：8.00倍，未计后续稀释、优先权、税费和流动性折价。</t>
  </si>
  <si>
    <t>奥比中光</t>
  </si>
  <si>
    <t>深映感知</t>
  </si>
  <si>
    <t>让摄像头除了拍到颜色，还能测出物体的距离和形状。</t>
  </si>
  <si>
    <t>黄源浩在北京大学、海外光学研究机构及麻省理工学院积累光学与三维成像研究经验，2013年回国创办奥比中光。</t>
  </si>
  <si>
    <t>长期研究光学与三维成像的海归团队，把实验室能力做成可量产的深度相机。</t>
  </si>
  <si>
    <t>从结构光三维感知切入，组合深度引擎芯片、光学系统、算法及标定制造。2015年推出MX400深度引擎芯片，此处以2017年已知产品为准。</t>
  </si>
  <si>
    <t>把光学、深度芯片和标定一起设计，输出可供机器人使用的三维信息。</t>
  </si>
  <si>
    <t>2015年已推出Astra三维视觉传感器，向智能终端和开发者提供模组及深度相机；当时应用市场仍需要培养。</t>
  </si>
  <si>
    <t>向机器人和智能终端厂商销售视觉模组，随客户产品验证争取批量订单。</t>
  </si>
  <si>
    <t>不同光照、材质和距离会影响精度；客户是否愿意为三维信息承担额外成本？</t>
  </si>
  <si>
    <t>真实天使融资早于2014年，首轮估值未查明。本次最早已核价格为2017-12-27原股东转让：9900万元购买1.50%股权，推算全股权价值66亿元（2018-02完成工商变更）；并非首轮投后估值。</t>
  </si>
  <si>
    <t>2026-10-15收盘70.28元，总股本412,834,732股，全股权市值290.13945亿元。2022 IPO以及后续定增募资不当作估值。</t>
  </si>
  <si>
    <t>公开估值/市值计算：4.40倍，未计后续稀释、优先权、税费和流动性折价。</t>
  </si>
  <si>
    <t>柔宇科技</t>
  </si>
  <si>
    <t>折光科技</t>
  </si>
  <si>
    <t>把屏幕做得像纸一样可以弯折</t>
  </si>
  <si>
    <t>刘自鸿等具有斯坦福及电子工程背景，2012年创办柔宇。团队从柔性电子工艺研发走向制造产线，游戏按用户选择在2016年C+轮进入。</t>
  </si>
  <si>
    <t>名校博士与电子工程团队创业，对核心工艺有长期积累。</t>
  </si>
  <si>
    <t>柔性显示涉及材料、薄膜器件、工艺及封装协同。技术样品、稳定良率与可盈利的大规模产能存在不同验证要求。</t>
  </si>
  <si>
    <t>从材料、薄膜工艺到显示器件协同开发，技术壁垒集中在工艺环节</t>
  </si>
  <si>
    <t>推进产线、消费电子和柔性应用产品，重资产投入需要规模订单及现金流支撑。2024年11月法院宣告柔宇相关三主体破产。</t>
  </si>
  <si>
    <t>从消费电子到机器人，都有潜在应用场景</t>
  </si>
  <si>
    <t>成本优势要等良率和订单规模上来才能兑现</t>
  </si>
  <si>
    <t>公司首轮融资早于2016年；本游戏沿用2016年C+轮，金额与估值未核实。</t>
  </si>
  <si>
    <t>历年多轮融资与产线投入分开；累计融资总额未统一核。2024年相关主体宣告破产不等于已披露普通股清偿。</t>
  </si>
  <si>
    <t>用户人工确认：0.00倍，未计后续稀释、优先权、税费和流动性折价。</t>
  </si>
  <si>
    <t>具身VC投资模拟器 V4｜回报以同一法律主体、同一币种的最早可核估值/交易价格与截至2026-10-15的最新估值或市值计算。估算项单列公式与范围，不将融资额直接当作估值。</t>
  </si>
  <si>
    <t>单题投资额</t>
  </si>
  <si>
    <t>万元人民币</t>
  </si>
  <si>
    <t>结算倍数＝人工确认倍率，或终点估值÷进入估值×持股保留系数。默认保留系数100%，不计追加投资、分红、优先权、税费与退出折价；“待补”案例不自动结算。</t>
  </si>
  <si>
    <t>案例ID</t>
  </si>
  <si>
    <t>项目原型</t>
  </si>
  <si>
    <t>游戏进入年</t>
  </si>
  <si>
    <t>进入轮次/时点</t>
  </si>
  <si>
    <t>回报口径</t>
  </si>
  <si>
    <t>估值单位</t>
  </si>
  <si>
    <t>进入估值</t>
  </si>
  <si>
    <t>终点估值/市值</t>
  </si>
  <si>
    <t>人工指定倍率</t>
  </si>
  <si>
    <t>持股保留系数</t>
  </si>
  <si>
    <t>结算倍数</t>
  </si>
  <si>
    <t>净收益率</t>
  </si>
  <si>
    <t>单题投资（万元）</t>
  </si>
  <si>
    <t>模拟回收（万元）</t>
  </si>
  <si>
    <t>模拟净收益（万元）</t>
  </si>
  <si>
    <t>终点日期</t>
  </si>
  <si>
    <t>估值依据与计算逻辑</t>
  </si>
  <si>
    <t>主要不确定性</t>
  </si>
  <si>
    <t>VC15</t>
  </si>
  <si>
    <t>2013年Pre-A早期融资</t>
  </si>
  <si>
    <t>早期公开估值与上市总市值之比（汇率折算；非投资者真实回报）</t>
  </si>
  <si>
    <t>亿元人民币</t>
  </si>
  <si>
    <t>2026-10-15 15:11:07+08:00</t>
  </si>
  <si>
    <t>采用早期投资人采访披露3600万元估值；这是早期融资估值近似口径，不将400万元投资额当估值。；盘中总市值317.39456568亿港元×0.8570人民币/港元=272.00714278亿元人民币；÷0.36计算。</t>
  </si>
  <si>
    <t>早期3600万元投前/投后未分；汇率目前为检索摘录；盘中估值随行情波动。±10%入口口径误差会使倍率约687—840倍。</t>
  </si>
  <si>
    <t>VC43</t>
  </si>
  <si>
    <t>早期设计软件阶段</t>
  </si>
  <si>
    <t>估值数据不足，暂不计算</t>
  </si>
  <si>
    <t>待补</t>
  </si>
  <si>
    <t>没有早轮估值或出让比例，不能把融资额、注册资本或产品用户数当作估值。；没有同主体最新市值或可核投后估值。</t>
  </si>
  <si>
    <t>需以股权融资交易或上市文件补齐。</t>
  </si>
  <si>
    <t>VC23</t>
  </si>
  <si>
    <t>A轮/早期机构轮</t>
  </si>
  <si>
    <t>估值资料不足：不沿用v3教学倍数</t>
  </si>
  <si>
    <t>亿美元</t>
  </si>
  <si>
    <t>2018-05</t>
  </si>
  <si>
    <t>弱来源称2013年3亿美元，但未获直接交易或可信机构验证；首轮金额“数千万美元”亦不足推断唯一估值。；2018融资规模10亿美元；若150亿美元投前加10亿新钱则160亿美元投后。若150亿美元本已是投后，则终点150亿美元。终点区间150—160亿美元。</t>
  </si>
  <si>
    <t>不能在2013年3亿美元尚未确认时写50倍；也不能把榜单估值或D类无息债权融资混同普通股定价。待IT桔子或权威历史交易补证。</t>
  </si>
  <si>
    <t>VC06</t>
  </si>
  <si>
    <t>天使轮</t>
  </si>
  <si>
    <t>2026-10-15</t>
  </si>
  <si>
    <t>天使融资750万元是融资额，不是估值；未查获当轮新增持股比例或单位股权成本，故不硬设10%/20%稀释生成倍数。；2021-12 D轮融资5.8亿元、投后40.8亿元；2026-10-15约14:54港股02670市值46.8085亿港元，折40.114885亿元人民币。</t>
  </si>
  <si>
    <t>待IT桔子首轮参考估值或招股书历史股本表；已知2021年C轮22.89亿、D轮40.8亿，可计算晚轮估值变化但不能替代早期回报。</t>
  </si>
  <si>
    <t>VC05</t>
  </si>
  <si>
    <t>首轮融资额190万/380万来源冲突，未披露投后估值或当轮持股；不能把任一融资金额直接当作进入估值。；2025-06最后一轮融资1.95亿元、投后52.95亿元；已上市主体2026-10-15约14:53市值129.9386亿港元，折111.35738亿元人民币。</t>
  </si>
  <si>
    <t>待IT桔子首轮参考估值/招股书增资价及股本核对；若只有190万元融资额，缺新增持股比例，暂无有充分依据的估值中点。</t>
  </si>
  <si>
    <t>VC20</t>
  </si>
  <si>
    <t>天使轮（最早已直接核实估值的轮次）</t>
  </si>
  <si>
    <t>公开历史投后估值 / 2026-10-15市值：未稀释毛估值增长倍数</t>
  </si>
  <si>
    <t>天使投资方同道齐创、道生资本、深创投、君溢创投等，投后1.5亿元；2022年末投后35.31亿元。；腾讯行情2026-10-15约14:54市值72.5046亿港元，按当日中间价0.8570折人民币</t>
  </si>
  <si>
    <t>未核完整后续稀释；越疆种子轮1000万元估值尚未直接核招股书，故暂以天使1.5亿元作保守且已核的进入点。</t>
  </si>
  <si>
    <t>VC48</t>
  </si>
  <si>
    <t>设备业务早期阶段</t>
  </si>
  <si>
    <t>没有可核的早轮估值或增资价格。；没有可核的末轮投后估值或市值。</t>
  </si>
  <si>
    <t>需补IT桔子融资事件、投资方新闻稿或工商增资资料。</t>
  </si>
  <si>
    <t>VC38</t>
  </si>
  <si>
    <t>2017-09 A1轮</t>
  </si>
  <si>
    <t>A1轮投后估值折人民币 / 2026-10-15收盘总市值；未稀释毛估值增长</t>
  </si>
  <si>
    <t>2017-09 A1轮投后5亿美元；按USD/HKD=7.80、HKD/CNY=0.8528折33.2592亿元人民币。09660于2026-10-15收盘3.84港元、市值607.99亿港元，折518.49亿元人民币。</t>
  </si>
  <si>
    <t>汇率换算会影响倍率；未计后续稀释、优先权、税费与退出折价。来源：新浪财经2024-10-25、Google Finance与Wise 2026-10-15。</t>
  </si>
  <si>
    <t>VC09</t>
  </si>
  <si>
    <t>股权转让，非首轮</t>
  </si>
  <si>
    <t>最早可核同主体股权转让隐含估值/最新收盘总市值</t>
  </si>
  <si>
    <t>招股意向书p68披露9900万元购买1.50%，0.99/0.015=66亿元。；腾讯行情收盘70.28元×总股本412834732股÷1e8=290.13945亿元。</t>
  </si>
  <si>
    <t>2013天使及2016等更早融资估值缺原始交易条款，以2017年有价转让作为替代；若补得更早估值应同步改进入年及文案。</t>
  </si>
  <si>
    <t>VC36</t>
  </si>
  <si>
    <t>早期泊车业务阶段</t>
  </si>
  <si>
    <t>估值与清偿数据不足，暂不计算；不沿用V3的0.10倍教学回收情景</t>
  </si>
  <si>
    <t>首轮投后估值或当轮持股比例缺失，不能从融资新闻或注册资本制造分母。；重整并不天然意味着公司普通股价值为零；需要法院裁定、重整计划和实际清偿资料。</t>
  </si>
  <si>
    <t>需取得公开法院文书或管理人公告及历史增资交易价格后重算。</t>
  </si>
  <si>
    <t>VC01</t>
  </si>
  <si>
    <t>2016年天使轮（人工确认回报口径）</t>
  </si>
  <si>
    <t>用户人工确认真实投资/最新估值倍率，保留并单独标识</t>
  </si>
  <si>
    <t>沿用源表P列用户确认；用户未提供完整分子分母，不能反推凑数；用户确认依据最新轮估值；公开信息仅作旁证</t>
  </si>
  <si>
    <t>人工确认值尚不能从公开数据独立复算；不冒充公开估值测算</t>
  </si>
  <si>
    <t>VC49</t>
  </si>
  <si>
    <t>首轮估值和终点估值均未披露，暂不计算</t>
  </si>
  <si>
    <t>天使轮金额未披露；Pre-A的数千万融资额不能作为天使估值或替代估值。；9亿元为战略投资金额，75亿元为IPO拟募资额，均不能直接当作公司终点估值。</t>
  </si>
  <si>
    <t>需补招股书、交易公告中的增资价格和投后股本后计算。</t>
  </si>
  <si>
    <t>VC27</t>
  </si>
  <si>
    <t>最早可核实融资/交易时点</t>
  </si>
  <si>
    <t>用户人工确认（非本轮独立核实）</t>
  </si>
  <si>
    <t>用户确认2016年天使轮0.16亿元人民币；未取得该笔交易合同。；保留用户选定100亿元人民币终点，不改成其他估值。</t>
  </si>
  <si>
    <t>用户确认的私人交易信息，未获取完整合同或估值日期，不伪装为公开证实。</t>
  </si>
  <si>
    <t>VC22</t>
  </si>
  <si>
    <t>2026-04-23</t>
  </si>
  <si>
    <t>天使金额/比例未核实；2018年A轮5000万元融资额也不等于估值。若IT桔子有可见参考估值可另注明平台估算。；官网与新闻披露投后“突破100亿元”；以100亿元作为可见下界，不当成精确估值。</t>
  </si>
  <si>
    <t>进入估值待核；终点100亿元是下界。无可辩护的首轮估值区间，倍数留空。</t>
  </si>
  <si>
    <t>VC19</t>
  </si>
  <si>
    <t>A1轮（最早可核实估值轮次）</t>
  </si>
  <si>
    <t>据招股书，2016年A1轮融资4250万元、投后估值2.1亿元；2022-12 E1轮投后150亿元。；腾讯行情2026-10-15约14:54市值76.7254亿港元，按当日中间价0.8570折人民币</t>
  </si>
  <si>
    <t>媒体直接引述招股书A1投后2.1亿元；2015创办期是否另有未公开轮次待核，因此称最早可核实估值轮次。未扣后续股本稀释。</t>
  </si>
  <si>
    <t>VC30</t>
  </si>
  <si>
    <t>定价增资（非首轮）</t>
  </si>
  <si>
    <t>可核增资股份比例反推投后估值/收盘总市值</t>
  </si>
  <si>
    <t>以2.5亿元认购531.25万股、投后9031.25万股：2.5/(531.25/9031.25)=42.5亿元。披露每股47.06元为四舍五入，优先用总对价和精确股数。；234元×183330125股÷1e8=428.99249亿元，约10.09倍。</t>
  </si>
  <si>
    <t>2014谱润入股估值未取得；原表2016为游戏情景年，没有对应真实定价，因此改2018可核交易年。</t>
  </si>
  <si>
    <t>VC29</t>
  </si>
  <si>
    <t>早期轮次估值待补</t>
  </si>
  <si>
    <t>估值证据不足，暂不计算</t>
  </si>
  <si>
    <t>2026-10-14美股收盘</t>
  </si>
  <si>
    <t>已核2017 A轮1.1亿元人民币，但未见该轮出让股份或投后估值；不能将融资额当估值或任设20%稀释。；腾讯HSAI行情全股权市值21.90562亿美元；需与同币种入场估值比较，不能把人民币1.1亿融资直接作分母。</t>
  </si>
  <si>
    <t>缺早期投后估值/持股比例，原表教学25倍作废而不默认1倍。</t>
  </si>
  <si>
    <t>VC21</t>
  </si>
  <si>
    <t>2016年顺为资本早期定价轮（最早满足5000万元门槛）</t>
  </si>
  <si>
    <t>公开历史投后估值 / 2026-10-15收盘总市值；未稀释毛估值增长</t>
  </si>
  <si>
    <t>2015-03天津金米入股投后约4,380万元，低于5,000万元门槛，按规则排除。招股书口径的2016年顺为资本轮投后估值14.82亿元；2026-10-15收盘价103.10元×总股本259,567,776股=267.614377亿元。</t>
  </si>
  <si>
    <t>入口采用首个满足门槛的公开定价轮，不等同于最早融资；未扣后续稀释、优先权、税费和流动性折价。来源：搜狐2023-01-16转引招股书、腾讯行情2026-10-15。</t>
  </si>
  <si>
    <t>VC08</t>
  </si>
  <si>
    <t>A轮</t>
  </si>
  <si>
    <t>公开A轮融资额 ÷ 明示持股假设所得的进入估值 / 2026-10-15公开市值；未稀释毛估值增长</t>
  </si>
  <si>
    <t>以1亿美元按2017年平均约6.63元/美元折6.63亿元；假定该轮新增持股10%，则投后估值=6.63÷10%=66.3亿元。若新增持股为5%/15%，进入估值为132.6/44.2亿元，对应42.55/127.65倍。；腾讯证券15:24行情给出市值5,641.89亿元。</t>
  </si>
  <si>
    <t>公开报道的A轮金额和具体交割币种、占股未在本次取得的原始交易文件中复核。</t>
  </si>
  <si>
    <t>VC31</t>
  </si>
  <si>
    <t>2017早期融资线索待核</t>
  </si>
  <si>
    <t>缺起终点估值，暂不计算</t>
  </si>
  <si>
    <t>缺真实融资定价与股比，不以数百万元/数千万元融资额冒充估值。；C1/C2数亿元合计融资是募集现金，不是企业估值；自媒体40亿尚未获得公司/机构背书。</t>
  </si>
  <si>
    <t>早期和最新估值均需IT桔子/合同补证；原教学20倍删除，不能默认1倍或0倍。</t>
  </si>
  <si>
    <t>VC50</t>
  </si>
  <si>
    <t>天使阶段</t>
  </si>
  <si>
    <t>首轮估值未核，暂不计算</t>
  </si>
  <si>
    <t>2022（媒体估值线索）</t>
  </si>
  <si>
    <t>首轮金额、估值和出让比例缺失，不能以任意天使融资额作为公司估值。；110亿元仅为历史媒体估值线索，缺交易文件与投前/投后定义；保留为待核参考，不能支撑倍数计算。</t>
  </si>
  <si>
    <t>须通过IT桔子事件页、投资方公告或工商增资股本核对首轮和2022交易。</t>
  </si>
  <si>
    <t>VC35</t>
  </si>
  <si>
    <t>2018年早期轮（最早公开可用估值下限）</t>
  </si>
  <si>
    <t>早期估值下限 / 2026-10-15收盘总市值；按下限计算的最大倍率</t>
  </si>
  <si>
    <t>2018年公开资料称公司估值超过10亿美元，取10亿美元下限；2026-10-15港股市值374.27亿港元，折约48.0亿美元。因入口为“超过10亿美元”，48÷10=4.80倍是上限。</t>
  </si>
  <si>
    <t>入口投前/投后未明且为下限，真实倍数应低于4.80倍；未计后续稀释、优先权、税费与退出折价。来源：公开融资报道、2026-10-15港股行情。</t>
  </si>
  <si>
    <t>VC24</t>
  </si>
  <si>
    <t>主体起步观察期；未证实独立VC融资</t>
  </si>
  <si>
    <t>有破产清算程序证据，但独立进入估值及最终股权回收均缺失，暂停数值</t>
  </si>
  <si>
    <t>深兰机器人（上海）有限公司成立于2018-05-04；独立首轮VC股权融资未证实。进入年改为主体成立年，原表早于成立年份的教学进入不再沿用。；法院受理破产清算不等于最终分配完成；尚未找到最终清偿方案证明普通股回收为零。</t>
  </si>
  <si>
    <t>不能因经营困难直接设0倍，不能用集团融资或估值搭配子公司结局；需独立交易资料及最终分配报告。</t>
  </si>
  <si>
    <t>VC41</t>
  </si>
  <si>
    <t>2019年首轮</t>
  </si>
  <si>
    <t>首轮投后估值 / 2026-10-15收盘总市值；未稀释毛估值增长</t>
  </si>
  <si>
    <t>2019年首轮注资4,000万元对应投后估值3.75亿元，不将融资额作为估值。02513于2026-10-15收盘509.00港元，市值2,481.82亿港元，按0.8528折2,116.50亿元人民币。</t>
  </si>
  <si>
    <t>汇率口径会影响倍率；未计后续稀释、优先权、税费与退出折价。来源：证券时报/新浪财经2026-01-08、Google Finance与Wise 2026-10-15。</t>
  </si>
  <si>
    <t>VC47</t>
  </si>
  <si>
    <t>2019年A轮（最早公开可用估值）</t>
  </si>
  <si>
    <t>A轮后估值 / 最新估值下限（跨币种折算）；未稀释毛估值增长</t>
  </si>
  <si>
    <t>2026-03</t>
  </si>
  <si>
    <t>2019年A轮后报道称公司估值升至4亿美元；2026-03最新估值超120亿元人民币，按约7.2元/美元折超16.7亿美元，取16.7亿美元下限。</t>
  </si>
  <si>
    <t>早期“升至4亿美元”未明确投前/投后，且跨币种折算仅作估算；终点为下限。未计后续稀释、优先权、税费与退出折价。来源：中国医药创新促进会、杭州政协及新浪财经检索结果。</t>
  </si>
  <si>
    <t>VC37</t>
  </si>
  <si>
    <t>2020-10天使轮</t>
  </si>
  <si>
    <t>天使轮投后估值 / 2026-10-15收盘总市值；未稀释毛估值增长</t>
  </si>
  <si>
    <t>2020-10天使轮投后估值4.80亿元；688802于2026-10-15收盘402.99元，Google Finance市值1,748.04亿元。两端同为人民币，1,748.04÷4.80。</t>
  </si>
  <si>
    <t>早期投后估值引自审计资料转引；仅反映估值增长，未计持股稀释、优先权、税费与退出折价。来源：创业邦2025-12-17、Google Finance 2026-10-15。</t>
  </si>
  <si>
    <t>VC39</t>
  </si>
  <si>
    <t>2020年天使轮（最早明确投后估值）</t>
  </si>
  <si>
    <t>2020年天使轮投后估值16.46亿元；更早14亿元资料存在投前口径，未采用。688795于2026-10-15收盘321.27元，Google Finance市值1,668.60亿元。</t>
  </si>
  <si>
    <t>采用最早明确投后口径；未计后续稀释、优先权、税费与退出折价。来源：36氪2025-12-05、Google Finance 2026-10-15。</t>
  </si>
  <si>
    <t>VC32</t>
  </si>
  <si>
    <t>用户确认52亿元终点、20倍倍率，倒算起点52/20=2.6亿元；该2.6亿是代数反推值，不是公开首轮披露。；用户人工确认52亿元人民币；未提供估值日期，不编造日期。</t>
  </si>
  <si>
    <t>VC07</t>
  </si>
  <si>
    <t>战略投资（IT桔子可见最早轮次）</t>
  </si>
  <si>
    <t>公开融资额 ÷ 明示持股假设所得的进入估值 / 2026-10-15公开市值；未稀释毛估值增长</t>
  </si>
  <si>
    <t>以156.5亿元新增资金占投后10%作透明、可替换的基准，得到投后1,565亿元；10%不是已披露事实。若新增持股为5%/15%，进入估值为3,130/1,043.33亿元，对应9.45/28.36倍。；腾讯行情原始串的市值字段为29,590.68亿元；与当日“市值跌破3万亿”公开行情报道方向一致。</t>
  </si>
  <si>
    <t>进入点不是公司成立时的首轮，只是IT桔子本次可复核的最早大额股权事件；取得该轮工商增资股数或交易文件后应替换10%假设。</t>
  </si>
  <si>
    <t>VC11</t>
  </si>
  <si>
    <t>科创板IPO（非首轮VC）</t>
  </si>
  <si>
    <t>IPO发行价对应市值 / 2026-10-15公开市值；公开市场未稀释毛估值增长</t>
  </si>
  <si>
    <t>发行价36.18元/股×发行前后总股本约8,037.437万股，得到约29.08亿元；这是可交易、可核的IPO进入点。；腾讯行情15:24显示股价284.60元、总股本80,374,370股，市值=284.60×80,374,370≈228.75亿元。</t>
  </si>
  <si>
    <t>未把IPO倍率误称为早期VC回报；若需早期游戏进入点，须从招股书历史增资表补全真实单位股权成本。</t>
  </si>
  <si>
    <t>VC25</t>
  </si>
  <si>
    <t>达闼机器人（北京）有限公司成立于2020-09-27；独立首轮VC股权融资未证实。进入年改为主体成立年，原表早于成立年份的教学进入不再沿用。；法院受理破产清算不等于最终分配完成；尚未找到最终清偿方案证明普通股回收为零。</t>
  </si>
  <si>
    <t>VC26</t>
  </si>
  <si>
    <t>首轮估值与最终普通股清偿未核，不能沿用0倍</t>
  </si>
  <si>
    <t>整轮融资超9000万、熊猫资本单家7000万；尚缺首轮新增持股比例/估值。；破产程序尚在债权申报及会议阶段；2021年5亿美元估值是历史融资峰值，不能作为现值；无最终股权回收结果。</t>
  </si>
  <si>
    <t>缺首轮投后估值及最终清偿报告。即使存在资不抵债报道，也不能把真实回报擅定0倍。</t>
  </si>
  <si>
    <t>VC33</t>
  </si>
  <si>
    <t>天使轮，标准条款代理</t>
  </si>
  <si>
    <t>奇绩公开标准条款代理早期估值/最新已披露估值下限（估算）</t>
  </si>
  <si>
    <t>2026-03-06（最近有估值的公开轮次；后续有融资但估值未明）</t>
  </si>
  <si>
    <t>奇绩官网公开30万美元换7%；0.003亿美元/7%=0.042857亿美元，按2021年美元兑人民币约6.45作跨币种折算=0.27643亿元。6.3–6.6汇率敏感区间对应约354–370倍。未宣称帕西尼实际合同必然适用标准条款。；创业邦原文2026-03-06明确投后估值超100亿元，取100亿元为已披露下限，算得约361.76倍；这只是该方法下的保守终点，不能称估值精确100亿。</t>
  </si>
  <si>
    <t>较高：奇绩当前公开标准不等于2021帕西尼个别交易合同；汇率约值亦属估算；如IT桔子有早期参考估值应优先复核替换。</t>
  </si>
  <si>
    <t>VC34</t>
  </si>
  <si>
    <t>A轮前后</t>
  </si>
  <si>
    <t>无可复核估值终点，暂不计算；不沿用V3的教学0倍</t>
  </si>
  <si>
    <t>10亿元仅为融资额，不是投后估值；没有新增持股比例，不能倒推唯一进入估值。；全员停工报道说明经营已出现重大挫折，但不等于已宣告破产、清算完成或普通股实际归零。</t>
  </si>
  <si>
    <t>取得法院公开文书、工商注销/重整结果或投资人回收信息后，再按真实清偿率计算。</t>
  </si>
  <si>
    <t>VC02</t>
  </si>
  <si>
    <t>用户明确确认首轮投后估值2亿元人民币。；用户明确确认最新估值80亿元人民币。</t>
  </si>
  <si>
    <t>公开天使+轮2亿美元与用户首轮2亿元人民币不同，不可混同；用户数据沿用但日期、具体交易待合同佐证。</t>
  </si>
  <si>
    <t>VC10</t>
  </si>
  <si>
    <t>天使轮（金额公开、估值以假设还原）</t>
  </si>
  <si>
    <t>公开融资额 ÷ 明示持股假设所得的进入估值 / 公开报道的最新估值；未稀释毛估值增长</t>
  </si>
  <si>
    <t>2024</t>
  </si>
  <si>
    <t>早期融资1,000万美元，假定本轮新增持股10%，投后估值=0.1亿美元÷10%=1亿美元；若占股5%/15%，进入估值为2/0.667亿美元，对应12.5/37.5倍。；采用2024年B轮后公开报道的约25亿美元估值；没有用B轮融资金额替代估值。</t>
  </si>
  <si>
    <t>早期融资金额和25亿美元估值均需以IT桔子事件详情或公司交易文件进一步复核；截至截止日不声称为现金退出。</t>
  </si>
  <si>
    <t>VC12</t>
  </si>
  <si>
    <t>公开已完成估值已核实；早轮估值缺失，暂不计算</t>
  </si>
  <si>
    <t>2025-03-25</t>
  </si>
  <si>
    <t>首轮金额及持股比例均缺，不能从不明投资额假设10%—20%持股再套出一个倍数。；150亿元是最后可核到已完成融资且披露估值的节点；500亿元洽谈/收尾估值排除。</t>
  </si>
  <si>
    <t>首轮估值待IT桔子历史融资参考估值或交易文件补查；后续已完成轮次是否另有估值也需核实。</t>
  </si>
  <si>
    <t>VC40</t>
  </si>
  <si>
    <t>2023-06天使轮</t>
  </si>
  <si>
    <t>天使轮投后估值 / 最新已完成私募估值；未稀释毛估值增长</t>
  </si>
  <si>
    <t>2026-10-06</t>
  </si>
  <si>
    <t>2023-06天使轮投后估值3亿美元；2026-10-06报道最后一轮私募已完成、公司估值约500亿美元。两端均为美元，500÷3。</t>
  </si>
  <si>
    <t>终点报道未明确投前/投后，按“最新估值”参考；非现金退出，未计后续稀释、优先权、税费与退出折价。来源：澎湃新闻2026-06-08、彭博口径新浪财经2026-10-06。</t>
  </si>
  <si>
    <t>VC46</t>
  </si>
  <si>
    <t>2023年种子轮</t>
  </si>
  <si>
    <t>已完成估值已核实；早轮估值不足，暂不计算</t>
  </si>
  <si>
    <t>2026-05-25</t>
  </si>
  <si>
    <t>种子+天使+天使+累计数千万元，未得单轮金额和比例；不将三轮累计融资除以一个任意稀释率。；北京商报与甲子光年报道已完成本轮、估值超过20亿美元，取20亿美元下限。</t>
  </si>
  <si>
    <t>首轮估值需补；以美元为共同币种，未来若入口人民币须注明统一汇率口径。</t>
  </si>
  <si>
    <t>VC13</t>
  </si>
  <si>
    <t>种子轮</t>
  </si>
  <si>
    <t>最新可得已完成融资估值取披露下限；入口不足，暂不计算</t>
  </si>
  <si>
    <t>2026-03-05</t>
  </si>
  <si>
    <t>只有数千万元融资范围，没有具体金额和出让比例；以任意融资中点÷任意持股比例会带来双重假设，暂不填倍率。；采用最近公开明确的超100亿元估值的100亿元下限，不冒充7月最新轮精确估值。</t>
  </si>
  <si>
    <t>入口估值缺；终点为下限且日期滞后于最新融资。</t>
  </si>
  <si>
    <t>VC18</t>
  </si>
  <si>
    <t>2023年天使轮首次交割</t>
  </si>
  <si>
    <t>已完成投后估值下限已核实；首轮估值缺口暂不计算</t>
  </si>
  <si>
    <t>2026-04-02</t>
  </si>
  <si>
    <t>千万美元融资为宽范围且含两次交割，未得出让比例；没有证据支持将融资额直接视为估值。；科创板日报明确本轮已完成、投后估值超200亿元，取200亿元下限。</t>
  </si>
  <si>
    <t>入口估值待IT桔子或历史增资协议；200亿为终点下限。</t>
  </si>
  <si>
    <t>VC44</t>
  </si>
  <si>
    <t>2026-10-05</t>
  </si>
  <si>
    <t>2023-09天使轮与2024-09 A轮均未披露投后估值，不能反推入口。2026-10-05媒体报道称IPO前估值143亿元；与同期其他口径存在差异，作为待核参考终点。</t>
  </si>
  <si>
    <t>缺首轮投后估值，倍率保持待补；143亿元为媒体报道、未得公司或交易文件交叉验证。</t>
  </si>
  <si>
    <t>VC16</t>
  </si>
  <si>
    <t>天使轮（非更早种子轮）</t>
  </si>
  <si>
    <t>最早可核实投资人披露估值与已完成融资估值下限之比</t>
  </si>
  <si>
    <t>2026-04-16</t>
  </si>
  <si>
    <t>华民投创始合伙人崔斌在2026天使投资大会披露：估值1亿元时参与天使投资。；上证报确认B1完成且估值逾100亿；保守以100亿下限÷1亿=100倍。9月200亿Pre-IPO尚待交割，排除。</t>
  </si>
  <si>
    <t>100倍是公开已完成轮次估值下限对应的保守数，不是最新Pre-IPO估值；投资人未明确1亿元为投前或投后。</t>
  </si>
  <si>
    <t>VC04</t>
  </si>
  <si>
    <t>沿用用户按真实投资最新轮估值确认的80倍；原始起点金额未提供，不反推编造。；沿用用户最新轮估值口径，终点金额及日期未提供。</t>
  </si>
  <si>
    <t>VC17</t>
  </si>
  <si>
    <t>2024年种子轮（人工确认口径）</t>
  </si>
  <si>
    <t>沿用源表P列用户确认；用户未提供完整分子分母，不能反推凑数；用户确认60倍按真实最新估值计算；公开20亿元是两轮融资金额而非估值，不据此凑分子。</t>
  </si>
  <si>
    <t>VC42</t>
  </si>
  <si>
    <t>早期</t>
  </si>
  <si>
    <t>2026-07</t>
  </si>
  <si>
    <t>2024-09 Pre-A仅披露“数亿元融资”，未披露估值，不能反推入口。2026-07 A3战略轮后有报道估值达到10亿美元，作为最新可信终点参考。</t>
  </si>
  <si>
    <t>缺首轮投后估值，倍率保持待补。来源：亿欧2024-09-19、 新浪财经2026-08-04。</t>
  </si>
  <si>
    <t>VC45</t>
  </si>
  <si>
    <t>2024-01天使轮</t>
  </si>
  <si>
    <t>天使轮投后估值 / 最近公开投后估值；未稀释毛估值增长</t>
  </si>
  <si>
    <t>2026-06（2026-09后续融资未披露新估值）</t>
  </si>
  <si>
    <t>2024-01天使轮投后2.8亿元（另有投前2.3亿元口径，未混用）；2026-06 B+首轮后投后77.4亿元。2026-09后续融资未披露新估值，故不更新终点。</t>
  </si>
  <si>
    <t>两端均为公开投后口径；未计后续稀释、优先权、税费与退出折价。来源：21财经、财新检索结果。</t>
  </si>
  <si>
    <t>VC14</t>
  </si>
  <si>
    <t>2024年种子轮</t>
  </si>
  <si>
    <t>公开已完成轮次估值；早轮估值缺失，暂不计算</t>
  </si>
  <si>
    <t>2026-04-07</t>
  </si>
  <si>
    <t>近2亿元是种子+天使合计，既无法切分首轮金额，也没有首轮出让比例，不据此强估。；南都记者对已完成4月新一轮融资后估值的报道：200亿元。</t>
  </si>
  <si>
    <t>首轮估值缺口；末轮估值是媒体采访口径。</t>
  </si>
  <si>
    <t>VC03</t>
  </si>
  <si>
    <t>2026年早期融资（用户真实投资口径）</t>
  </si>
  <si>
    <t>VC28</t>
  </si>
  <si>
    <t>C+轮（用户选定）</t>
  </si>
  <si>
    <t>本游戏依用户选择以2016年C+轮进入，非真实首轮。；用户确认普通股回收按0计。2024年破产支持重大损失方向，但没有普通股最终清偿公告，0为用户确认损失处理。</t>
  </si>
  <si>
    <t>破产不自动等同于已披露普通股清偿率0；此处是用户确认减值处理。</t>
  </si>
  <si>
    <t>资料口径｜公开交易、上市公司市值、IT桔子融资记录、用户人工确认与公式估算分开标示。估算不使用融资金额直接代替估值，且不代表实际投资者已实现收益。</t>
  </si>
  <si>
    <t>项目原型/法律主体</t>
  </si>
  <si>
    <t>卡片进入时点</t>
  </si>
  <si>
    <t>回报方法</t>
  </si>
  <si>
    <t>进入估值及逻辑</t>
  </si>
  <si>
    <t>终点估值及逻辑</t>
  </si>
  <si>
    <t>未稀释倍数</t>
  </si>
  <si>
    <t>稀释与收益边界</t>
  </si>
  <si>
    <t>来源与证据</t>
  </si>
  <si>
    <t>V4说明</t>
  </si>
  <si>
    <t>2016年，2016年天使轮（人工确认回报口径）</t>
  </si>
  <si>
    <t>2016；估值未披露；沿用源表P列用户确认；用户未提供完整分子分母，不能反推凑数</t>
  </si>
  <si>
    <t>估值未披露；用户确认依据最新轮估值；公开信息仅作旁证</t>
  </si>
  <si>
    <t>估值倍数未计后续稀释、费用、税及流动性折价，不等于真实投资者实现回报</t>
  </si>
  <si>
    <t>2026-10-15｜用户人工确认游戏内投资回报P列｜人工指定倍率。1035.00倍，净收益率103400.0%。计算输入及假设见回报测算；不代表已实现现金退出。｜具身VC投资模拟器_题库v3.1.xlsx#题库底稿
2025-02-27｜宇树科技官方澄清：融资无中间方，老股转让风波真相几何？｜正文记载尹方鸣200万元早期天使投资；未给股权比例和估值。不能将200万元当估值。｜https://business.sohu.com/a/864434305_121850782</t>
  </si>
  <si>
    <t>V4：已给出可复核回报输入；保留用户人工确认。</t>
  </si>
  <si>
    <t>2022年，最早可核实融资/交易时点</t>
  </si>
  <si>
    <t>2亿元人民币；用户明确确认首轮投后估值2亿元人民币。</t>
  </si>
  <si>
    <t>80亿元人民币；用户明确确认最新估值80亿元人民币。</t>
  </si>
  <si>
    <t>估值增长比未计后续融资稀释、分红、税费及优先权，不等于投资人已实现现金收益。</t>
  </si>
  <si>
    <t>2022-12-08｜辉羲智能完成超5000万美元天使+轮融资，小米战略领投｜原文明示天使+轮项目估值2亿美元、2022-04成立及三名创始人背景。｜https://www.cyzone.cn/article/707678.html
2025-01-08｜辉羲智能完成A1轮融资｜A1轮亦庄产投领投，商汤、朗玛峰、卓源亚洲跟投；未披露80亿估值。｜https://finance.sina.cn/tech/2025-01-08/detail-ineefzcx7243380.d.html</t>
  </si>
  <si>
    <t>2026年，2026年早期融资（用户真实投资口径）</t>
  </si>
  <si>
    <t>2026；估值未披露；沿用源表P列用户确认；用户未提供完整分子分母，不能反推凑数</t>
  </si>
  <si>
    <t>2026-10-15｜用户人工确认游戏内投资回报P列｜人工指定：8倍，这是按照真实投资的最新一轮估值来计算的｜具身VC投资模拟器_题库v3.1.xlsx#题库底稿
2026-07-28｜德塔智能完成近5亿元天使++轮融资（中国证券报）｜公司2026年1月成立；创始人马晓健；半年完成第六轮近5亿元天使++融资；用于模型、数采设备、数据闭环与研发；未披露估值。｜https://www.cs.com.cn/ssgs/01/2026/07/28/detail_2026072810027759.html
2026-07-28｜德塔智能完成近5亿元天使++轮融资，成立半年融资六轮（钛媒体）｜正文核到BIGAI孵化、人形基础模型与自研3D世界引擎路线；聚焦全身协同。未写后续融资成败到进入时点卡片。｜http://www.zaker.cn/news/article_new.php?pk=6a68a0528e9f094dc745054d</t>
  </si>
  <si>
    <t>2024年，最早可核实融资/交易时点</t>
  </si>
  <si>
    <t>估值未披露；沿用用户按真实投资最新轮估值确认的80倍；原始起点金额未提供，不反推编造。</t>
  </si>
  <si>
    <t>估值未披露；沿用用户最新轮估值口径，终点金额及日期未提供。</t>
  </si>
  <si>
    <t>2026-04-07｜首形科技完成数亿元A1轮融资｜报道2024-06成立、2024-10天使投资及2026 A1轮融资和仿生面部研发方向。｜https://www.thepaper.cn/newsDetail_forward_32915673</t>
  </si>
  <si>
    <t>2015年，天使轮</t>
  </si>
  <si>
    <t>2015；估值未披露；首轮融资额190万/380万来源冲突，未披露投后估值或当轮持股；不能把任一融资金额直接当作进入估值。</t>
  </si>
  <si>
    <t>2026-10-15；111.35738亿元人民币；2025-06最后一轮融资1.95亿元、投后52.95亿元；已上市主体2026-10-15约14:53市值129.9386亿港元，折111.35738亿元人民币。</t>
  </si>
  <si>
    <t>未获完整股本变动表时仅计算公司股权估值增长，不声称为投资人实际收益；未扣稀释、税费和退出折价。</t>
  </si>
  <si>
    <t>2025-10-30｜山东县城，即将冲出一个明星IPO｜天使梅花独家190万元；2025-06最后融资1.95亿、投后52.95亿；创始经历、控制系统切入及2016年XB-6。｜https://finance.sina.com.cn/tech/roll/2025-10-30/doc-infvrtfu8029940.shtml
2024-12-27｜获国家制造业基金入股！珞石机器人启动A股IPO辅导｜庹华与曹华、韩峰涛共同创办，团队与技术路线。｜https://www.cls.cn/detail/1902315?app=stib
2018-09-20｜珞石完成1.6亿人民币B轮融资｜旧数据库称2015-07天使380万元；与2025年引招股书190万元不一致，仅作待核线索。｜https://www.fromgeek.com/vc/194456.html
2026-10-15｜腾讯证券行情｜03752股价49.00港元、总股本265180890、市值129.9386亿港元，14:53:26。｜https://qt.gtimg.cn/q=hk03752,hk02670,hk02590,hk02432,sh688169
2026-10-15｜港元人民币中间价｜1港元=0.8570元人民币。｜https://forex.cngold.org/c/2026-10-15/c10816430.html</t>
  </si>
  <si>
    <t>V4：估值资料待补，不加入自动结算；</t>
  </si>
  <si>
    <t>2014年，天使轮</t>
  </si>
  <si>
    <t>2014-07；估值未披露；天使融资750万元是融资额，不是估值；未查获当轮新增持股比例或单位股权成本，故不硬设10%/20%稀释生成倍数。</t>
  </si>
  <si>
    <t>2026-10-15；40.114885亿元人民币；2021-12 D轮融资5.8亿元、投后40.8亿元；2026-10-15约14:54港股02670市值46.8085亿港元，折40.114885亿元人民币。</t>
  </si>
  <si>
    <t>2025-03-24｜AI概念破题：全球最大酒店机器人提供商赴港IPO｜2014-07安徽人工智能公司及北京洋葱投资750万元；D轮每股66元、投后40.8亿元。搜索索引可读，正文抓取有限。｜https://business.sohu.com/a/875039710_425901
2025-03-24｜云迹科技冲刺港股IPO：阿里腾讯携程等巨头参投，估值41亿｜2021-08 C轮每股38.86/43.15元，投后22.89亿；D轮投后40.8亿。｜https://finance.sina.com.cn/stock/newstock/2025-03-24/doc-ineqtwts3538162.shtml
2025-10-15｜十年磨一股，云迹估值仍不及宇树？｜成立2014年，2015年推出酒店机器人；为进入时点与后续成熟产品作边界。｜https://www.thepaper.cn/newsDetail_forward_31784213
2026-10-15｜腾讯证券行情｜02670股价6.750港元×总股本693459820=46.8085亿港元，14:54:15。｜https://qt.gtimg.cn/q=hk03752,hk02670,hk02590,hk02432,sh688169
2026-10-15｜港元人民币中间价｜1港元=0.8570元人民币。｜https://forex.cngold.org/c/2026-10-15/c10816430.html</t>
  </si>
  <si>
    <t>2020年，战略投资（IT桔子可见最早轮次）</t>
  </si>
  <si>
    <t>2020-12-16；1565亿元人民币；以156.5亿元新增资金占投后10%作透明、可替换的基准，得到投后1,565亿元；10%不是已披露事实。若新增持股为5%/15%，进入估值为3,130/1,043.33亿元，对应9.45/28.36倍。</t>
  </si>
  <si>
    <t>2026-10-15；29590.68亿元人民币；腾讯行情原始串的市值字段为29,590.68亿元；与当日“市值跌破3万亿”公开行情报道方向一致。</t>
  </si>
  <si>
    <t>公司估值增长口径，未计算后续融资稀释、优先权、税费或锁定期折价。</t>
  </si>
  <si>
    <t>2026-10-15｜IT桔子：长鑫科技/长鑫存储｜页面显示公司2016年成立；可见融资表列2020-12-16战略投资156.5亿元、2022-02-11战略投资186.09亿元及投资方。｜https://www.itjuzi.com/company/35257711
2026-10-15｜腾讯证券行情：688825 长鑫科技｜15:24行情原始串中市值字段29,590.68亿元；仅作终点市值，不作历史融资估值。｜https://qt.gtimg.cn/q=sh688825
2026-10-15｜长鑫存储官网｜公司产品与DRAM一体化制造定位的主体核对。｜https://www.cxmt.com/</t>
  </si>
  <si>
    <t>V4：已给出可复核回报输入；</t>
  </si>
  <si>
    <t>2017年，A轮</t>
  </si>
  <si>
    <t>2017；66.3亿元人民币；以1亿美元按2017年平均约6.63元/美元折6.63亿元；假定该轮新增持股10%，则投后估值=6.63÷10%=66.3亿元。若新增持股为5%/15%，进入估值为132.6/44.2亿元，对应42.55/127.65倍。</t>
  </si>
  <si>
    <t>2026-10-15；5641.89亿元人民币；腾讯证券15:24行情给出市值5,641.89亿元。</t>
  </si>
  <si>
    <t>为避免公式误读，游戏应采用5,641.89亿元 ÷ 66.3亿元，即85.10倍；未扣后续稀释。</t>
  </si>
  <si>
    <t>2026-10-15｜寒武纪官网｜用于主体、智能芯片及软件平台定位核验。｜https://www.cambricon.com/
2026-10-15｜腾讯证券行情：688256 寒武纪｜15:24行情原始串市值字段5,641.89亿元。｜https://qt.gtimg.cn/q=sh688256
2026-10-15｜上交所：寒武纪公司信息｜上市主体和证券代码交叉核验。｜https://www.sse.com.cn/assortment/stock/list/info/company/index.shtml?COMPANY_CODE=688256</t>
  </si>
  <si>
    <t>2026年，股权转让，非首轮</t>
  </si>
  <si>
    <t>2017-12-27（协议；2018-02-08变更）；66亿元人民币；招股意向书p68披露9900万元购买1.50%，0.99/0.015=66亿元。</t>
  </si>
  <si>
    <t>2026-10-15；290.1402496496亿元人民币；腾讯行情收盘70.28元×总股本412834732股÷1e8=290.13945亿元。</t>
  </si>
  <si>
    <t>全公司估值比4.40倍未扣后续融资稀释、优先权、分红及税费；历史投资者实际股份回报会不同。</t>
  </si>
  <si>
    <t>2022-06-20｜奥比中光首次公开发行股票并在科创板上市招股意向书｜p68：2017-12-27/2018-02股权转让，9900万元=1.50%；p69-70：2018-05上海云鑫73333.33万元认购10%；产品和创始人背景。｜https://pdf.dfcfw.com/pdf/H2_AN202206191573217070_1.pdf
2026-10-15｜腾讯股票行情688322｜收盘70.28；总股本412834732；总市值290.14亿元。原始快照另存。｜https://qt.gtimg.cn/q=sh688322</t>
  </si>
  <si>
    <t>2022年，天使轮（金额公开、估值以假设还原）</t>
  </si>
  <si>
    <t>2022；1亿美元；早期融资1,000万美元，假定本轮新增持股10%，投后估值=0.1亿美元÷10%=1亿美元；若占股5%/15%，进入估值为2/0.667亿美元，对应12.5/37.5倍。</t>
  </si>
  <si>
    <t>2024；25亿美元；采用2024年B轮后公开报道的约25亿美元估值；没有用B轮融资金额替代估值。</t>
  </si>
  <si>
    <t>公司投后估值增长，未扣后续融资稀释、优先权及流动性折价。</t>
  </si>
  <si>
    <t>2026-10-15｜MiniMax官网｜用于产品主体和多模态模型定位核对。｜https://www.minimaxi.com/
2026-10-15｜Reuters Technology融资报道索引｜用于复核2024年中国大模型公司融资与估值报道；具体交易金额仍需在最终数据锁定前逐条回访原文。｜https://www.reuters.com/technology/</t>
  </si>
  <si>
    <t>2020年，科创板IPO（非首轮VC）</t>
  </si>
  <si>
    <t>2020-07；29.08亿元人民币；发行价36.18元/股×发行前后总股本约8,037.437万股，得到约29.08亿元；这是可交易、可核的IPO进入点。</t>
  </si>
  <si>
    <t>2026-10-15；228.75亿元人民币；腾讯行情15:24显示股价284.60元、总股本80,374,370股，市值=284.60×80,374,370≈228.75亿元。</t>
  </si>
  <si>
    <t>这是二级市场市值变化，并非早期投资人的实际回报，未扣锁定期、交易成本或税费。</t>
  </si>
  <si>
    <t>2026-10-15｜国盾量子官网｜用于量子通信产品和主体定位核验。｜https://www.quantum-info.com/
2026-10-15｜腾讯证券行情：688027 国盾量子｜15:24股价284.60元、总股本80,374,370股，可复算市值约228.75亿元。｜https://qt.gtimg.cn/q=sh688027
2026-10-15｜上交所：国盾量子公司信息｜科创板上市主体和证券代码交叉核验。｜https://www.sse.com.cn/assortment/stock/list/info/company/index.shtml?COMPANY_CODE=688027</t>
  </si>
  <si>
    <t>2023年，天使轮</t>
  </si>
  <si>
    <t>2023-03；估值未披露；首轮金额及持股比例均缺，不能从不明投资额假设10%—20%持股再套出一个倍数。</t>
  </si>
  <si>
    <t>2025-03-25；150亿元人民币；150亿元是最后可核到已完成融资且披露估值的节点；500亿元洽谈/收尾估值排除。</t>
  </si>
  <si>
    <t>2025-03-25｜智元机器人估值达150亿元，由华为公司原副总裁邓泰华接任法人代表（中国经营报）｜记者报道2023年3月天使轮，成立一年五轮；2025年腾讯领投新一轮已完成工商变更，估值达到150亿元。原文未披露天使金额或估值。｜https://finance.sina.com.cn/jjxw/2025-03-25/doc-ineqwfyk6838560.shtml
2026-10-13｜独家｜智元启动新融资，估值500亿元，IPO暂缓（财经杂志）｜360搜索索引载明融资10—15亿元、估值约500亿元且接近收尾；正文访问403。500亿元列为未完成参考，不作为已完成融资终点。｜https://www.163.com/dy/article/L95268H60519DDOA.html</t>
  </si>
  <si>
    <t>2023年，种子轮</t>
  </si>
  <si>
    <t>2023—2024年初；估值未披露；只有数千万元融资范围，没有具体金额和出让比例；以任意融资中点÷任意持股比例会带来双重假设，暂不填倍率。</t>
  </si>
  <si>
    <t>2026-03-05；100亿元人民币；采用最近公开明确的超100亿元估值的100亿元下限，不冒充7月最新轮精确估值。</t>
  </si>
  <si>
    <t>2024-10-16｜星动纪元完成近3亿元Pre-A轮融资（财联社）｜载明此前世纪金源领投、图灵创投跟投的数千万元种子轮，以及超亿元天使轮；未披露种子估值。｜https://finance.eastmoney.com/a/202410163207838243.html
2024-10-16｜阿里领投！清华系具身智能公司星动纪元完成近3亿元Pre-A轮融资（钛媒体）｜正文核到种子数千万元、天使超亿元；团队由清华交叉信息研究院陈建宇创办。｜https://business.sohu.com/a/816981249_116132
2026-07-06｜星动纪元完成新一轮10亿元融资，2026年来累计融资近50亿（华尔街见闻）｜7月已完成10亿元新融资；3月完成10亿元融资时估值突破百亿元；最新轮未披露新估值。不得把接近50亿元累计融资当估值。｜https://m.163.com/dy/article/L15N8ODO05198NMR.html?referFrom</t>
  </si>
  <si>
    <t>2024年，2024年种子轮</t>
  </si>
  <si>
    <t>2024；估值未披露；近2亿元是种子+天使合计，既无法切分首轮金额，也没有首轮出让比例，不据此强估。</t>
  </si>
  <si>
    <t>2026-04-07；200亿元人民币；南都记者对已完成4月新一轮融资后估值的报道：200亿元。</t>
  </si>
  <si>
    <t>2026-04-10｜千寻智能30天融资30亿元，马云、雷军旗下公司联合领投（经济参考报）｜4月7日完成10亿元；顺为2024年参与种子轮，此后天使、Pre-A、A及本轮连续参与。未披露首轮估值。｜http://jjckb.xinhuanet.com/20260410/8f978f88dc76476db9f5d2430e66934d/c.html
2026-04-07｜千寻智能融资10亿、估值翻番，头部机器人公司吸金凶猛（南都）｜记者报道新一轮已完成，融资后估值企及200亿元；2月100亿元。正文未披露首轮投后估值。｜http://m.mp.oeeee.com/a/BAAFRD0000202604071552496.html</t>
  </si>
  <si>
    <t>2013年，2013年Pre-A早期融资</t>
  </si>
  <si>
    <t>2013；0.36亿元人民币；采用早期投资人采访披露3600万元估值；这是早期融资估值近似口径，不将400万元投资额当估值。</t>
  </si>
  <si>
    <t>2026-10-15 15:11:07+08:00；272.00714278亿元人民币；盘中总市值317.39456568亿港元×0.8570人民币/港元=272.00714278亿元人民币；÷0.36计算。</t>
  </si>
  <si>
    <t>2025-01-04｜4天股价暴跌49%，优必选上市一年闯难关（时代周报）｜依据全球发售文件列出2013年9月力合华睿Pre-A轮I投资400万元；并引用夏佐全采访，早期融资时估值3600万元。估值投前/投后口径未在该文明确。｜https://www.time-weekly.com/index.php/post/317715
2026-10-15 15:11:07+08:00｜东方财富优必选09880实时行情API｜本次工具原始返回f43=63050,f59=3即63.050港元；f84=503401373总股本；f116=31739456567.65港元总市值；f86=1792048267。属盘中快照，不是收盘价。｜https://push2.eastmoney.com/api/qt/stock/get?secid=116.09880&amp;fields=f43,f57,f58,f116,f117,f84,f86,f47,f60,f92,f59
2026-10-15 15:11:07+08:00｜腾讯优必选09880行情快照交叉核验｜返回股价63.050港元，总市值317.3946亿港元，总股本503401373，和东方财富一致。｜https://qt.gtimg.cn/q=r_hk09880
2026-10-15｜金投网当日港币人民币中间价（360索引摘录）｜搜索索引显示2026年10月15日1港元=0.8570元人民币。仅抓取搜索结果，没有在本批取得金投正文；可由主代理统一汇率源替换。｜https://www.so.com/s?q=港元+人民币+2026年10月15日+中间价</t>
  </si>
  <si>
    <t>2024年，天使轮（非更早种子轮）</t>
  </si>
  <si>
    <t>2024；1亿元人民币；华民投创始合伙人崔斌在2026天使投资大会披露：估值1亿元时参与天使投资。</t>
  </si>
  <si>
    <t>2026-04-16；100亿元人民币；上证报确认B1完成且估值逾100亿；保守以100亿下限÷1亿=100倍。9月200亿Pre-IPO尚待交割，排除。</t>
  </si>
  <si>
    <t>2026-04-20｜赛道比企业更重要，退出畅通有助于反哺投早——2026天使投资大会（证券时报）｜华民投崔斌表示作为极佳视界天使轮投资方，在企业估值1亿元时参与投资，目前企业估值已逾百亿元。直接投资人口径支持入口1亿元。｜https://finance.sina.com.cn/roll/2026-04-20/doc-inhvapyr8849612.shtml
2026-04-16｜极佳视界再获15亿元B1轮融资，估值破百亿元（上海证券报）｜近15亿元B1轮已完成；估值超百亿元。取100亿元下限，不把融资额15亿元当估值。｜https://finance.eastmoney.com/a/202604163707233729.html
2026-04-16｜极佳视界，一个月融资25亿（投资界）｜成立于2023年6月；初期数千万元种子；2024年9月近5000万元天使+天使+两轮；团队黄冠、朱政及视觉/自动驾驶工程经历。｜https://www.thepaper.cn/newsDetail_forward_32982668
2026-09-16｜极佳视界完成股改启动港股IPO，投前估值约200亿元人民币｜公开正文仍称最新Pre-IPO融资即将完成交割；200亿元投前值不作为已完成轮次的终点。｜https://cj.sina.com.cn/articles/view/1644983660/620c756c02001vpzs</t>
  </si>
  <si>
    <t>2024年，2024年种子轮（人工确认口径）</t>
  </si>
  <si>
    <t>2024；估值未披露；沿用源表P列用户确认；用户未提供完整分子分母，不能反推凑数</t>
  </si>
  <si>
    <t>估值未披露；用户确认60倍按真实最新估值计算；公开20亿元是两轮融资金额而非估值，不据此凑分子。</t>
  </si>
  <si>
    <t>2026-10-15｜用户人工确认游戏内投资回报P列｜人工指定：60倍，这是按照真实的最新一轮估值来计算的结果｜具身VC投资模拟器_题库v3.1.xlsx#题库底稿
2026-03-10｜灵初智能宣布完成新一轮融资，迈入行业头部梯队｜正文公开新一轮已完成和灵巧操作/数据体系路线，未给与用户60倍对应的完整交易估值。｜https://finance.sina.cn/tech/2026-03-10/detail-inhqnmhx6341674.d.html
2026-03-10｜灵初智能完成20亿融资：蓝驰创投与智元机器人是种子轮投资｜360检索摘录：2024年创办，种子投资方为高瓴、蓝驰、智元；天使和Pre-A合计20亿元。腾讯正文仅标题可读，故数据标为检索摘录。｜https://news.qq.com/rain/a/20260310A04P9R00
2026-04-13｜灵初智能完成新一轮融资，推进具身智能技术研发与数据集建设｜正文确认国投先导、京西瑞瓴参与新融资，金额未披露；文中部分产品发布日期可能写成2025年，未据此改入场卡片。｜https://auto.ifeng.com/c/8sHtWr1Ano0</t>
  </si>
  <si>
    <t>2023年，2023年天使轮首次交割</t>
  </si>
  <si>
    <t>2023；估值未披露；千万美元融资为宽范围且含两次交割，未得出让比例；没有证据支持将融资额直接视为估值。</t>
  </si>
  <si>
    <t>2026-04-02；200亿元人民币；科创板日报明确本轮已完成、投后估值超200亿元，取200亿元下限。</t>
  </si>
  <si>
    <t>2026-04-02｜星海图再融20亿，估值突破200亿，具身智能头部格局加速形成｜科创板日报：B+轮近20亿元已完成，相关方披露投后估值突破200亿元；2023年9月成立、初期百度风投和IDG天使。｜https://www.cls.cn/detail/2333817
2026-04-02｜星海图已完成轮次与初创融资信息（同上）｜正文核到2023年9月初创即获得天使融资，但未披露首轮投资额、持股比例或估值；数千万美元来自其他检索资料，不能推导精确首轮投后值。｜https://www.cls.cn/detail/2333817</t>
  </si>
  <si>
    <t>2016年，A1轮（最早可核实估值轮次）</t>
  </si>
  <si>
    <t>2016；2.1亿元人民币；据招股书，2016年A1轮融资4250万元、投后估值2.1亿元；2022-12 E1轮投后150亿元。</t>
  </si>
  <si>
    <t>2026-10-15；65.753668亿元人民币；腾讯行情2026-10-15约14:54市值76.7254亿港元，按当日中间价0.8570折人民币</t>
  </si>
  <si>
    <t>2024-12-19｜估值150亿元，蚂蚁、英特尔持股的极智嘉赴港上市｜据招股书，2016年A1轮融资4250万元、投后估值2.1亿元；2022-12 E1轮投后150亿元。｜https://finance.sina.com.cn/stock/relnews/us/2024-12-19/doc-inczxzya0285102.shtml
2026-10-15｜腾讯证券实时行情｜腾讯行情2026-10-15约14:54市值76.7254亿港元，按当日中间价0.8570折人民币｜https://qt.gtimg.cn/q=hk03752,hk02670,hk02590,hk02432,sh688169
2026-10-15｜今日港币兑人民币汇率中间价是多少（2026年10月15日）｜1港元对人民币0.8570元。｜https://forex.cngold.org/c/2026-10-15/c10816430.html</t>
  </si>
  <si>
    <t>2015年，天使轮（最早已直接核实估值的轮次）</t>
  </si>
  <si>
    <t>2015-12；1.5亿元人民币；天使投资方同道齐创、道生资本、深创投、君溢创投等，投后1.5亿元；2022年末投后35.31亿元。</t>
  </si>
  <si>
    <t>2026-10-15；62.136442亿元人民币；腾讯行情2026-10-15约14:54市值72.5046亿港元，按当日中间价0.8570折人民币</t>
  </si>
  <si>
    <t>2024-07-15｜越疆科技8轮融资后估值35亿 深圳又跑出一个IPO｜天使投资方同道齐创、道生资本、深创投、君溢创投等，投后1.5亿元；2022年末投后35.31亿元。｜https://finance.sina.com.cn/tech/roll/2024-07-15/doc-inceerfm1909693.shtml
2026-10-15｜腾讯证券实时行情｜腾讯行情2026-10-15约14:54市值72.5046亿港元，按当日中间价0.8570折人民币｜https://qt.gtimg.cn/q=hk03752,hk02670,hk02590,hk02432,sh688169
2026-10-15｜今日港币兑人民币汇率中间价是多少（2026年10月15日）｜1港元对人民币0.8570元。｜https://forex.cngold.org/c/2026-10-15/c10816430.html</t>
  </si>
  <si>
    <t>2015年，首次增资/天使轮可核实交易</t>
  </si>
  <si>
    <t>2015-03；0.438亿元人民币；2015-03天津金米入股，投后估值约4380万元；需招股书复核。</t>
  </si>
  <si>
    <t>2026-10-15；267.61亿元人民币；腾讯行情2026-10-15 15:09:20，收盘价103.10元×总股本259567776股=267.614377亿元，行情显示267.61亿元</t>
  </si>
  <si>
    <t>采用2015-03首次增资、投后4380万；并非把2014年创立资金当作融资。须进一步核招股书后续稀释，当前610.98倍仅毛估值增长。</t>
  </si>
  <si>
    <t>2023-01-16｜小米系减持石头科技，合计减持比例不超8%｜2015-03天津金米入股，投后估值约4380万元；需招股书复核。｜https://m.thepaper.cn/newsDetail_forward_21579463
2026-10-15｜腾讯证券实时行情｜腾讯行情2026-10-15 15:09:20，收盘价103.10元×总股本259567776股=267.614377亿元，行情显示267.61亿元｜https://qt.gtimg.cn/q=hk03752,hk02670,hk02590,hk02432,sh688169
2023-01-16｜小米系大撤退！“扫地茅”遭百亿套现，股价较最高点跌超七成｜引招股书：2015-03金米入股投后约4380万元，2016年顺为投后14.82亿元。搜索索引可读。｜https://www.sohu.com/a/630893797_161795</t>
  </si>
  <si>
    <t>2016年，天使轮</t>
  </si>
  <si>
    <t>2016；估值未披露；天使金额/比例未核实；2018年A轮5000万元融资额也不等于估值。若IT桔子有可见参考估值可另注明平台估算。</t>
  </si>
  <si>
    <t>2026-04-23；100亿元人民币；官网与新闻披露投后“突破100亿元”；以100亿元作为可见下界，不当成精确估值。</t>
  </si>
  <si>
    <t>2026-10-15｜关于我们 - 普渡机器人｜官网：公司估值突破百亿元，累计融资超过20亿元，三大技术栈与四条产品线。｜https://www.pudutech.com/zh-CN/company
2026-04-23｜普渡机器人完成近10亿元E轮融资，估值破百亿｜近10亿元融资，估值破100亿元；投后估值口径。｜https://k.sina.cn/article_5952915720_162d2490806703rur4.html
2025-07-30｜长盈精密：关联方长盈鑫是普渡科技天使轮投资人之一｜上市公司关联方长盈鑫是天使投资人，不将长盈精密上市公司写为直接投资方。｜http://stock.stockstar.com/RB2025073000031701.shtml
2018-06-11｜普渡科技完成5000万元A轮融资 曾获长盈精密天使投资｜2018-06-08 A轮5000万元，启创资本领投；此处长盈精密表述用后续上市公司澄清更正。｜https://www.sohu.com/a/235045634_100032577</t>
  </si>
  <si>
    <t>2013年，A轮/早期机构轮</t>
  </si>
  <si>
    <t>2013-01；估值未披露；弱来源称2013年3亿美元，但未获直接交易或可信机构验证；首轮金额“数千万美元”亦不足推断唯一估值。</t>
  </si>
  <si>
    <t>2018-05；160亿美元；2018融资规模10亿美元；若150亿美元投前加10亿新钱则160亿美元投后。若150亿美元本已是投后，则终点150亿美元。终点区间150—160亿美元。</t>
  </si>
  <si>
    <t>2018-04-06｜政策博弈下的大疆：被传估值150亿美金，却无上市计划｜2013年红杉数千万美元，2015年Accel7500万美元、估值100亿美元。｜https://www.jiemian.com/article/2038625.html
2020-07-27｜大疆回应赴港上市：内部尚未收到消息 18年最后一轮融资后估值160亿美元｜2018年战略融资10亿美元、融资后160亿美元。｜http://hk.stockstar.com/IG2020072700000550.shtml
2018-04-04｜大疆融资爆棚：估值150亿美元，近百家机构竞逐认购超30倍｜当时计划融资10亿美元，整体估值150亿美元；为最终投前/投后口径提供差异线索。｜https://www.nbd.com.cn/articles/2018-04-04/1205684.html
2018-06-05｜大疆的蜕变史：估值240亿美元，预计2022年可达千亿美元｜弱证据：称2013估值3亿美元，但年份和150亿口径不严谨，不作为确认倍数的唯一依据。｜https://www.sohu.com/a/234179105_280315</t>
  </si>
  <si>
    <t>2018年，主体起步观察期；未证实独立VC融资</t>
  </si>
  <si>
    <t>2018-05-04；估值未披露；深兰机器人（上海）有限公司成立于2018-05-04；独立首轮VC股权融资未证实。进入年改为主体成立年，原表早于成立年份的教学进入不再沿用。</t>
  </si>
  <si>
    <t>2026-10-15；估值未披露；法院受理破产清算不等于最终分配完成；尚未找到最终清偿方案证明普通股回收为零。</t>
  </si>
  <si>
    <t>2026-10-15｜深兰机器人（上海）有限公司工商资料｜成立日期2018-05-04；注册资本不是融资估值。｜https://aiqicha.baidu.com/company_mark_92357119306169
2026-10-14｜又一明星机器人破产！员工人均被欠薪23万｜深兰上海2026-05受理破产清算；达闼北京2025-10-10法院受理破产清算，2026-06指定管理人及债权申报；深兰集团与子公司结局不同。｜https://finance.sina.com.cn/roll/2026-10-14/doc-inivfftk1247445.shtml
2026-09-07｜深兰机器人（上海）有限公司破产清算一案 职工债权公示（第五批）｜公示称上海浦东法院2026-05-07作出受理裁定；公告线索，未获得最终股权清偿方案。｜https://www.sohu.com/a/1072922614_122455196</t>
  </si>
  <si>
    <t>2020年，主体起步观察期；未证实独立VC融资</t>
  </si>
  <si>
    <t>2020-09-27；估值未披露；达闼机器人（北京）有限公司成立于2020-09-27；独立首轮VC股权融资未证实。进入年改为主体成立年，原表早于成立年份的教学进入不再沿用。</t>
  </si>
  <si>
    <t>2026-10-15｜达闼机器人（北京）有限公司工商资料｜成立日期2020-09-27；注册资本不是融资估值。｜https://aiqicha.baidu.com/company_detail_34748345488682
2026-10-14｜又一明星机器人破产！员工人均被欠薪23万｜深兰上海2026-05受理破产清算；达闼北京2025-10-10法院受理破产清算，2026-06指定管理人及债权申报；深兰集团与子公司结局不同。｜https://finance.sina.com.cn/roll/2026-10-14/doc-inivfftk1247445.shtml
2025-04-01｜达闼机器人：短期内遭遇资金流动性挑战，2025年新单金额2亿—3亿元｜集团声明仍有经营与订单，经营声明不代表北京子公司股权清偿；不得将集团全部破产表述为既定事实。｜http://www.stcn.com/article/detail/1630947.html</t>
  </si>
  <si>
    <t>2020年，天使轮</t>
  </si>
  <si>
    <t>2020-06；估值未披露；整轮融资超9000万、熊猫资本单家7000万；尚缺首轮新增持股比例/估值。</t>
  </si>
  <si>
    <t>2026-10-15；估值未披露；破产程序尚在债权申报及会议阶段；2021年5亿美元估值是历史融资峰值，不能作为现值；无最终股权回收结果。</t>
  </si>
  <si>
    <t>2026-06-05｜熊猫资本喊话“美的大公子”：公司融超6亿，为何会濒死？｜熊猫单家7000万元，展示融资列表称天使整轮超9000万；投资人指控不当成已裁定事实。｜https://news.qq.com/rain/a/20260605A09EPP00
2026-10-11｜又一家明星机器人公司盈合机器人，破产了｜2020-03成立；2021-01 A轮约4亿元、估值5亿美元；2024-05新融资；首次债权人会议安排2026-10-19。｜https://finance.sina.com.cn/roll/2026-10-11/doc-iniuvpan0593675.shtml
2026-10｜融了6个亿，员工从300人缩到66人，最后进入破产程序：盈合机器人的六年｜案号（2026）粤03破454号，8月21日发布债权申报公告；不是最终股权分配结果。｜https://news.tianyancha.com/ll_0bk91bbkur.html</t>
  </si>
  <si>
    <t>2016年，最早可核实融资/交易时点</t>
  </si>
  <si>
    <t>0.16亿元人民币；用户确认2016年天使轮0.16亿元人民币；未取得该笔交易合同。</t>
  </si>
  <si>
    <t>100亿元人民币；保留用户选定100亿元人民币终点，不改成其他估值。</t>
  </si>
  <si>
    <t>2026-09-02｜梅卡曼德成功上市：三位清华同学港股敲锣了｜报道2016年底PreAngel等数百万元天使融资、三名创始人背景；2026-09-01港交所上市，发行价101.7港元，开盘市值超120亿港元。｜https://www.thepaper.cn/newsDetail_forward_33983429</t>
  </si>
  <si>
    <t>2026年，C+轮（用户选定）</t>
  </si>
  <si>
    <t>2016；估值未披露；本游戏依用户选择以2016年C+轮进入，非真实首轮。</t>
  </si>
  <si>
    <t>0亿元人民币；用户确认普通股回收按0计。2024年破产支持重大损失方向，但没有普通股最终清偿公告，0为用户确认损失处理。</t>
  </si>
  <si>
    <t>2024-11-19｜柔宇科技及两家子公司被深圳中院宣告破产｜报道法院2024-11-18裁定柔宇科技、柔宇电子、柔宇显示三主体破产；不等于披露普通股清偿。｜https://www.thepaper.cn/newsDetail_forward_29391318</t>
  </si>
  <si>
    <t>2016年，早期轮次估值待补</t>
  </si>
  <si>
    <t>估值未披露；已核2017 A轮1.1亿元人民币，但未见该轮出让股份或投后估值；不能将融资额当估值或任设20%稀释。</t>
  </si>
  <si>
    <t>2026-10-14美股收盘；21.90562亿美元；腾讯HSAI行情全股权市值21.90562亿美元；需与同币种入场估值比较，不能把人民币1.1亿融资直接作分母。</t>
  </si>
  <si>
    <t>若后续补值，估值比仍未计稀释；Hesai Group红筹重组与原境内公司权益映射须相符。</t>
  </si>
  <si>
    <t>2017-05-10｜激光雷达公司禾赛科技完成A轮1.1亿融资｜A轮1.1亿元人民币，Pagoda Investment领投；2017-04推出Pandar40。｜https://36kr.com/p/1721536315393
2021-01-08｜禾赛拍了拍科创板，估值133亿｜2016年之前主要气体检测，2016年开始自研激光雷达；IPO拟募资/比例133亿为拟发行口径非早期交易。｜https://www.36kr.com/p/1045259718393984
2026-10-14｜腾讯美股HSAI行情｜13.94美元收盘，全部股权市值21.90562亿美元。｜https://qt.gtimg.cn/q=usHSAI</t>
  </si>
  <si>
    <t>2016年，定价增资（非首轮）</t>
  </si>
  <si>
    <t>2018-11-15（决议；2018-11-27变更）；42.5亿元人民币；以2.5亿元认购531.25万股、投后9031.25万股：2.5/(531.25/9031.25)=42.5亿元。披露每股47.06元为四舍五入，优先用总对价和精确股数。</t>
  </si>
  <si>
    <t>2026-10-15；428.9924925亿元人民币；234元×183330125股÷1e8=428.99249亿元，约10.09倍。</t>
  </si>
  <si>
    <t>估值增长比未计IPO及后续融资对早期股份的稀释，非已实现投资回报。</t>
  </si>
  <si>
    <t>2020-08-25｜绿的谐波首次公开发行股票并在科创板上市招股说明书｜p43-44披露2018-11三笔增资合计25000万元，新增531.25万股、投后9031.25万股；p24记载早期量产与客户导入。｜https://pdf.dfcfw.com/pdf/H2_AN202008241401062523_1.pdf
2014-04-23｜谱润投资苏州绿的 助推机器人产业腾飞｜2014年已存在外部投资，不能称2018为首轮。｜http://www.ce.cn/cysc/sp/info/201404/23/t20140423_2709158.shtml
2026-10-15｜腾讯股票行情688017｜收盘234元；总股本183330125；全股权市值428.99亿元。｜https://qt.gtimg.cn/q=sh688017</t>
  </si>
  <si>
    <t>2017年，2017早期融资线索待核</t>
  </si>
  <si>
    <t>估值未披露；缺真实融资定价与股比，不以数百万元/数千万元融资额冒充估值。</t>
  </si>
  <si>
    <t>估值未披露；C1/C2数亿元合计融资是募集现金，不是企业估值；自媒体40亿尚未获得公司/机构背书。</t>
  </si>
  <si>
    <t>补得真实估值后仍需区分估值增长比与稀释后股东回报。</t>
  </si>
  <si>
    <t>2019-09-03｜因时机器人CEO蔡颖鹏：核心部件是机器人技术应用落地的关键｜早期采访证实创始人兼CEO蔡颖鹏、2016成立，转向微型核心部件及操作解决方案。｜https://cloud.tencent.com/developer/news/435565
2026-02-25｜因时机器人完成数亿元C1轮及C2轮融资｜上证报记者报道C1/C2轮融资金额和投资人，未披露估值。｜https://finance.eastmoney.com/a/202602253653896634.html</t>
  </si>
  <si>
    <t>2020年，最早可核实融资/交易时点</t>
  </si>
  <si>
    <t>2.6亿元人民币；用户确认52亿元终点、20倍倍率，倒算起点52/20=2.6亿元；该2.6亿是代数反推值，不是公开首轮披露。</t>
  </si>
  <si>
    <t>52亿元人民币；用户人工确认52亿元人民币；未提供估值日期，不编造日期。</t>
  </si>
  <si>
    <t>2026-10-15访问｜蓝点触控融资历史（主代理Chrome登录查看）｜融资事件如first/latest；页面轮次是融资金额，用户52亿估值另计。｜https://www.itjuzi.com/company/42799144</t>
  </si>
  <si>
    <t>2021年，天使轮，标准条款代理</t>
  </si>
  <si>
    <t>2021-11（天使融资披露）；0.2764285714285714亿元人民币；奇绩官网公开30万美元换7%；0.003亿美元/7%=0.042857亿美元，按2021年美元兑人民币约6.45作跨币种折算=0.27643亿元。6.3–6.6汇率敏感区间对应约354–370倍。未宣称帕西尼实际合同必然适用标准条款。</t>
  </si>
  <si>
    <t>2026-03-06（最近有估值的公开轮次；后续有融资但估值未明）；100亿元人民币；创业邦原文2026-03-06明确投后估值超100亿元，取100亿元为已披露下限，算得约361.76倍；这只是该方法下的保守终点，不能称估值精确100亿。</t>
  </si>
  <si>
    <t>此值是未计融资稀释的估值增长代理比，个别合同条款、后续融资、期权池与优先清算会改变实际股东回报。</t>
  </si>
  <si>
    <t>2021-11-25｜触觉传感器公司帕西尼感知科技完成数百万元天使轮融资｜奇绩创坛领投，产品为三维智能触觉传感器PX Chip。｜https://www.jiemian.com/article/6849187.html
2026-10-15访问｜奇绩创坛官网投资模式｜公开每家30万美元或等值人民币，换取7%公司股份；只支持标准条款代理。｜https://www.miracleplus.com/
2026-03-06｜帕西尼再获超10亿融资，估值破100亿｜公司宣布B轮超10亿元、公司估值超100亿元。｜https://www.cyzone.cn/article/826205.html
2022-12-29｜帕西尼感知科技完成数千万Pre-A轮融资｜Pre-A为数千万元（原表近亿元有误），核心为PX触觉传感器；创始人许晋诚博士。｜https://www.36kr.com/p/2063367890538372</t>
  </si>
  <si>
    <t>2021年，A轮前后</t>
  </si>
  <si>
    <t>2021；估值未披露；10亿元仅为融资额，不是投后估值；没有新增持股比例，不能倒推唯一进入估值。</t>
  </si>
  <si>
    <t>2026-10-15；估值未披露；全员停工报道说明经营已出现重大挫折，但不等于已宣告破产、清算完成或普通股实际归零。</t>
  </si>
  <si>
    <t>不以“停工”替代法律清算或投资人退出事实。</t>
  </si>
  <si>
    <t>2025-11｜证券时报：毫末智行停工报道｜用于核对停工这一经营挫折事实；不把媒体报道外推为已完成破产清算。｜https://www.stcn.com/article/detail/3508580.html
2026-10-15｜毫末智行官网｜用于主体及辅助驾驶业务定位核对。｜https://www.haomo.ai/</t>
  </si>
  <si>
    <t>公开天使融资额 ÷ 明示持股假设所得的进入估值 / 公开报道最新估值；未稀释毛估值增长</t>
  </si>
  <si>
    <t>2016；0.5亿美元；500万美元融资÷10%新增持股=5,000万美元投后；若占股5%/15%，进入值为1/0.333亿美元，对应30/90倍。</t>
  </si>
  <si>
    <t>2021（最后可核公开估值）；30亿美元；采用C轮后约30亿美元的媒体估值口径；不以“累计融资超10亿美元”直接替换公司估值。</t>
  </si>
  <si>
    <t>公司投后估值增长，未扣后续融资稀释、优先权、税费或退出折价。</t>
  </si>
  <si>
    <t>天使轮具体金额和终点估值须以IT桔子事件详情或正式交易披露复核；终点并非现金退出。</t>
  </si>
  <si>
    <t>2026-10-15｜IT桔子：Momenta/初速度｜页面显示2016年成立、量产与无人驾驶两条产品路线以及上汽、通用、奔驰、丰田和博世等战略投资者。｜https://www.itjuzi.com/company/53629
2026-10-15｜Momenta官网｜用于主体、产品与数据驱动路线核验。｜https://www.momenta.ai/</t>
  </si>
  <si>
    <t>2015年，早期泊车业务阶段</t>
  </si>
  <si>
    <t>2015；估值未披露；首轮投后估值或当轮持股比例缺失，不能从融资新闻或注册资本制造分母。</t>
  </si>
  <si>
    <t>2026-10-15；估值未披露；重整并不天然意味着公司普通股价值为零；需要法院裁定、重整计划和实际清偿资料。</t>
  </si>
  <si>
    <t>拒绝将旧题库中的10%回收教学数冒充已披露投资结果。</t>
  </si>
  <si>
    <t>2026｜纵目科技司法重整线索｜用于核对重整风险线索；尚不足以得出普通股实际清偿率。｜http://www.wrdrive.com/news/show.php?itemid=7516
2026-10-15｜纵目科技官网｜用于主体及泊车、智能驾驶业务定位核验。｜https://www.zongmu.com/</t>
  </si>
  <si>
    <t>2020年，首轮（用户确认投后估值）</t>
  </si>
  <si>
    <t>用户人工确认的同币种投后估值比；210亿元 ÷ 4.8亿元</t>
  </si>
  <si>
    <t>2020；4.8亿元人民币；保留用户确认的4.8亿元首轮投后估值，不以融资金额替换。</t>
  </si>
  <si>
    <t>2025（Pre-IPO）；210亿元人民币；保留用户确认的210亿元Pre-IPO终点估值。</t>
  </si>
  <si>
    <t>公司估值增长倍数，未扣后续融资稀释、优先权、税费或退出折价。</t>
  </si>
  <si>
    <t>人工确认值的原始交易文件未随工作簿提供；在游戏数据中应保留人工确认标识。</t>
  </si>
  <si>
    <t>2026-10-15｜用户人工确认：沐曦回报口径｜首轮投后4.8亿元、2025年Pre-IPO估值210亿元，210÷4.8=43.75倍。｜具身VC投资模拟器_题库v3.1.xlsx#题库底稿
2026-10-15｜沐曦官网｜用于GPU及软件产品主体定位核验。｜https://www.metax-tech.com/</t>
  </si>
  <si>
    <t>2015年，早期融资（金额假设还原）</t>
  </si>
  <si>
    <t>早期融资额 ÷ 明示持股假设所得的进入估值 / 2026-10-15公开市值；未稀释毛估值增长</t>
  </si>
  <si>
    <t>2015；13.26亿元人民币；2,000万美元按2015年约6.63元/美元折1.326亿元；假定新增持股10%，投后估值=1.326÷10%=13.26亿元。若新增持股5%/15%，进入值26.52/8.84亿元，对应19.67/59.01倍。</t>
  </si>
  <si>
    <t>2026-10-15；521.7亿元人民币；腾讯行情15:09给出市值608.7482亿港元；按2026-10-15中间价0.8570，折人民币521.70亿元。</t>
  </si>
  <si>
    <t>公司估值增长，未扣私募与IPO后稀释、禁售、税费和交易成本。</t>
  </si>
  <si>
    <t>早期融资金额和当轮占股尚需用IT桔子或招股书历史融资表复核；不沿用V3的20倍教学数。</t>
  </si>
  <si>
    <t>2026-10-15｜地平线官网｜用于车端计算平台、芯片和软件工具链定位核验。｜https://www.horizon.cc/
2026-10-15｜腾讯证券行情：09660 地平线机器人-W｜15:09行情市值608.7482亿港元。｜https://qt.gtimg.cn/q=hk09660
2026-10-15｜2026-10-15港元人民币中间价｜1港元=0.8570元人民币，用于港股市值换算。｜https://forex.cngold.org/c/2026-10-15/c10816430.html</t>
  </si>
  <si>
    <t>公开天使融资额 ÷ 明示持股假设所得的进入估值 / 公开报道最新私募估值；未稀释毛估值增长</t>
  </si>
  <si>
    <t>2020；13.26亿元人民币；2,000万美元按2020年约6.63元/美元折1.326亿元；假定新增持股10%，投后13.26亿元。若占股5%/15%，进入值26.52/8.84亿元，对应9.28/27.83倍。</t>
  </si>
  <si>
    <t>2024-2025（最后可核私募估值口径）；246亿元人民币；采用公开报道约246亿元的Pre-IPO投后估值，而非将融资金额或官网产品新闻当作估值。</t>
  </si>
  <si>
    <t>公司投后估值增长，未扣后续融资稀释、优先权、税费及流动性折价。</t>
  </si>
  <si>
    <t>首轮金额、终点估值及轮次需以IT桔子具体事件或招股文件复核；当前不声称已实现退出。</t>
  </si>
  <si>
    <t>2026-10-15｜摩尔线程官网｜用于GPU、驱动和软件生态产品主体核验。｜https://www.mthreads.com/
2026-10-15｜IT桔子融资数据库｜本轮将以IT桔子事件页继续复核2020天使轮和后续Pre-IPO交易；融资额不直接作为估值。｜https://www.itjuzi.com/</t>
  </si>
  <si>
    <t>2023年，天使轮（用户确认投后估值）</t>
  </si>
  <si>
    <t>用户人工确认的同币种估值比；35亿美元 ÷ 3亿美元</t>
  </si>
  <si>
    <t>2023-06；3亿美元；保留用户确认的3亿美元投后估值；IT桔子仅作为该天使轮融资日期和金额旁证。</t>
  </si>
  <si>
    <t>2026；35亿美元；保留用户确认的35亿美元终点估值，按同一美元口径计算。</t>
  </si>
  <si>
    <t>此为公司投后估值增长倍数，未扣后续融资稀释、优先权、费用、税和流动性折价。</t>
  </si>
  <si>
    <t>用户确认的估值原始交易文件未随工作簿提供；不以“F轮超35亿美元融资额”反推估值。</t>
  </si>
  <si>
    <t>2026-10-15｜用户人工确认游戏内投资回报P列｜人工基准：天使投后3亿美元、2026终点35亿美元，倍率11.67倍。｜具身VC投资模拟器_题库v3.1.xlsx#题库底稿
2026-10-15｜IT桔子：月之暗面Kimi｜记录2023-06-12天使轮6000万美元、2023-07-31 Pre-A、2024-02-19 A轮10亿美元；页面新闻收录2026-07-29 F轮消息。融资额不作估值。｜https://www.itjuzi.com/company/42787816</t>
  </si>
  <si>
    <t>2019年，首轮（用户确认投后估值）</t>
  </si>
  <si>
    <t>用户人工确认的同主体、同币种估值比；2500亿元 ÷ 4亿元</t>
  </si>
  <si>
    <t>2019；4亿元人民币；保留用户确认的4亿元首轮投后估值，未用融资金额或注册资本替代。</t>
  </si>
  <si>
    <t>用户确认口径；2500亿元人民币；保留用户确认的2500亿元终点估值，按同一人民币口径计算。</t>
  </si>
  <si>
    <t>完整首轮和终点交易文件未随工作簿提供；该人工确认值须在游戏数据中单独标识。</t>
  </si>
  <si>
    <t>2026-10-15｜用户人工确认游戏内投资回报P列｜人工指定：首轮估值4亿元、最新2500亿元，按625倍计算。｜具身VC投资模拟器_题库v3.1.xlsx#题库底稿
2026-10-15｜IT桔子：智谱｜页面将主体列为大模型公司并收录其融资新闻；不以页面上的融资额或新闻提及的上市后融资替代用户确认估值。｜https://www.itjuzi.com/company/38515688</t>
  </si>
  <si>
    <t>2023年，早期</t>
  </si>
  <si>
    <t>2023；估值未披露；未核到首轮投后估值、当轮新增持股或可还原的每股交易价格。</t>
  </si>
  <si>
    <t>估值未披露；未核到同主体的最新投后估值或市值。</t>
  </si>
  <si>
    <t>缺少分子和分母时不填教学情景倍数。</t>
  </si>
  <si>
    <t>须以IT桔子具体融资事件页、工商增资股数或公司披露补齐估值后再计算。</t>
  </si>
  <si>
    <t>2026-10-15｜Tripo 3D产品网站｜用于核对本案例的产品主体和3D生成定位；不作为融资或估值来源。｜https://www.tripo3d.ai/</t>
  </si>
  <si>
    <t>2013年，早期设计软件阶段</t>
  </si>
  <si>
    <t>2013；估值未披露；没有早轮估值或出让比例，不能把融资额、注册资本或产品用户数当作估值。</t>
  </si>
  <si>
    <t>估值未披露；没有同主体最新市值或可核投后估值。</t>
  </si>
  <si>
    <t>不使用V3的10倍教学情景。</t>
  </si>
  <si>
    <t>2026-10-15｜群核科技官方网站｜用于核对群核科技/酷家乐的空间设计软件主体与产品方向；不作估值证据。｜https://www.manycoretech.com/</t>
  </si>
  <si>
    <t>2023-08-21；估值未披露；“数千万人民币”是融资额而不是投后估值；没有出让比例，不能任设10%或20%反推估值。</t>
  </si>
  <si>
    <t>2026-10-12；估值未披露；23亿元是C轮融资额，不是终点投后估值；本批未核到可复算投后值。</t>
  </si>
  <si>
    <t>不得以两笔融资额相除作为投资回报倍数。</t>
  </si>
  <si>
    <t>可用IT桔子具体事件详情、投资协议或工商增资前后股本补齐。</t>
  </si>
  <si>
    <t>2026-10-15｜IT桔子：无问芯穹｜记录2023-08-21天使轮数千万、2023-12 Pre-A数亿、2024-09 A轮5亿；新闻栏记录2026-10-12 C轮23亿元。页面未给各轮投后估值。｜https://www.itjuzi.com/company/42847157
2026-10-15｜无问芯穹官方网站｜用于核对M×N异构算力基础设施定位；不作估值证据。｜https://www.infini-ai.com/</t>
  </si>
  <si>
    <t>2024年，早期</t>
  </si>
  <si>
    <t>2024；估值未披露；没有首轮投后估值或新增持股比例，不能将新闻中的融资额或产品调用量改写成估值。</t>
  </si>
  <si>
    <t>估值未披露；没有最新公开投后估值或市值。</t>
  </si>
  <si>
    <t>不使用V3的2.5倍教学情景。</t>
  </si>
  <si>
    <t>应补查IT桔子融资事件页、工商增资或投资方公告。</t>
  </si>
  <si>
    <t>2026-10-15｜IT桔子：硅基流动｜页面将其描述为大模型云服务及独立第三方算力调度平台；未在本次可读记录中提供可复算首轮或末轮估值。｜https://www.itjuzi.com/company/42910103</t>
  </si>
  <si>
    <t>2023年，2023年种子轮</t>
  </si>
  <si>
    <t>2023；估值未披露；种子+天使+天使+累计数千万元，未得单轮金额和比例；不将三轮累计融资除以一个任意稀释率。</t>
  </si>
  <si>
    <t>2026-05-25；20亿美元；北京商报与甲子光年报道已完成本轮、估值超过20亿美元，取20亿美元下限。</t>
  </si>
  <si>
    <t>2023-07-25｜合成数据公司光轮智能完成天使+轮融资（36氪）｜正文：当年已完成种子、天使、天使+三轮，融资总金额数千万元；金额是累计三轮，不是单笔种子额。｜https://baijiahao.baidu.com/s?id=1772359486950255256
2026-05-25｜蚂蚁集团领投，光轮智能20亿美元估值引领全球具身数据基础设施（甲子光年）｜新一轮已完成，估值超过20亿美元；蚂蚁领投，建投等参投。客户订单5.5亿元与收入/估值分开，不用订单反推估值。｜http://t.cj.sina.com.cn/articles/view/5381890498/140c921c201901hsoo
2026-05-25｜光轮智能完成新一轮融资，蚂蚁集团领投（北京商报）｜北京商报记者确认已完成新轮，估值突破20亿美元，交叉印证。｜https://finance.eastmoney.com/a/202605253748481225.html</t>
  </si>
  <si>
    <t>2015年，早期</t>
  </si>
  <si>
    <t>2015；估值未披露；首轮融资额、估值和股权比例均未核实。</t>
  </si>
  <si>
    <t>估值未披露；未核到末轮投后估值或市值。</t>
  </si>
  <si>
    <t>不把产品宣传、注册资本、融资累计额或医疗合作当估值。</t>
  </si>
  <si>
    <t>需以IT桔子历史融资、投资方公告或股权交易文件补齐。</t>
  </si>
  <si>
    <t>2026-10-15｜强脑科技官方网站｜用于核对BrainCo主体与脑机接口产品方向；不作为融资或估值来源。｜https://www.brainco.cn/</t>
  </si>
  <si>
    <t>2015年，设备业务早期阶段</t>
  </si>
  <si>
    <t>2015；估值未披露；没有可核的早轮估值或增资价格。</t>
  </si>
  <si>
    <t>估值未披露；没有可核的末轮投后估值或市值。</t>
  </si>
  <si>
    <t>不沿用V3的5倍教学数。</t>
  </si>
  <si>
    <t>2026-10-15｜博睿康官方网站｜用于核对神经信号采集和脑机系统产品方向；不作为估值来源。｜https://www.neuracle.com/</t>
  </si>
  <si>
    <t>2016-03-02；估值未披露；天使轮金额未披露；Pre-A的数千万融资额不能作为天使估值或替代估值。</t>
  </si>
  <si>
    <t>2026-10-15；估值未披露；9亿元为战略投资金额，75亿元为IPO拟募资额，均不能直接当作公司终点估值。</t>
  </si>
  <si>
    <t>不得用融资额或拟募资额除以早期融资额生成倍数。</t>
  </si>
  <si>
    <t>2026-10-15｜IT桔子：蓝箭航天Landspace｜记录2016-03-02天使轮金额未透露、2016-06 Pre-A数千万、2016-11 A轮数千万；新闻栏记录2024-12-25国家制造业基金投资9亿元和2026-01-04 IPO拟募资75亿元。｜https://www.itjuzi.com/company/81734
2026-10-15｜蓝箭航天官方网站｜用于核对液氧甲烷火箭及发射服务定位；不作估值证据。｜https://www.landspace.com/</t>
  </si>
  <si>
    <t>2018年，天使阶段</t>
  </si>
  <si>
    <t>2018；估值未披露；首轮金额、估值和出让比例缺失，不能以任意天使融资额作为公司估值。</t>
  </si>
  <si>
    <t>2022（媒体估值线索）；110亿元人民币；110亿元仅为历史媒体估值线索，缺交易文件与投前/投后定义；保留为待核参考，不能支撑倍数计算。</t>
  </si>
  <si>
    <t>不使用V3的1倍成本持有情景。</t>
  </si>
  <si>
    <t>2026-10-15｜银河航天官方网站｜用于核对卫星通信、载荷与卫星制造主体方向；不作为估值来源。｜https://www.galaxysat.com/
2026-10-15｜V3.1底稿中的估值线索｜原底稿记录“2022年融资公开报道投后估值约110亿元”，但没有交易文件或首轮估值；本批未把该线索伪装成可算倍数。｜具身VC投资模拟器_题库v3.1.xlsx#题库底稿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</si>
</sst>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
  </numFmts>
  <fonts count="25">
    <font>
      <sz val="11"/>
      <name val="Carlito"/>
      <charset val="134"/>
    </font>
    <font>
      <i/>
      <sz val="10"/>
      <color rgb="FF526477"/>
      <name val="Arial"/>
      <charset val="134"/>
    </font>
    <font>
      <b/>
      <sz val="10"/>
      <color rgb="FFFFFFFF"/>
      <name val="Arial"/>
      <charset val="134"/>
    </font>
    <font>
      <sz val="10"/>
      <color rgb="FF172233"/>
      <name val="Arial"/>
      <charset val="134"/>
    </font>
    <font>
      <b/>
      <sz val="10"/>
      <color rgb="FF172233"/>
      <name val="Arial"/>
      <charset val="134"/>
    </font>
    <font>
      <sz val="10"/>
      <color rgb="FF172233"/>
      <name val="宋体-简"/>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8">
    <fill>
      <patternFill patternType="none"/>
    </fill>
    <fill>
      <patternFill patternType="gray125"/>
    </fill>
    <fill>
      <patternFill patternType="solid">
        <fgColor rgb="FFF0F4F8"/>
        <bgColor indexed="64"/>
      </patternFill>
    </fill>
    <fill>
      <patternFill patternType="solid">
        <fgColor rgb="FF203B57"/>
        <bgColor indexed="64"/>
      </patternFill>
    </fill>
    <fill>
      <patternFill patternType="solid">
        <fgColor rgb="FFF7F9FC"/>
        <bgColor indexed="64"/>
      </patternFill>
    </fill>
    <fill>
      <patternFill patternType="solid">
        <fgColor rgb="FFFFFF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3">
    <xf numFmtId="0" fontId="0" fillId="0" borderId="0" xfId="49"/>
    <xf numFmtId="0" fontId="1" fillId="2" borderId="0" xfId="49" applyNumberFormat="1" applyFont="1" applyFill="1" applyBorder="1" applyAlignment="1">
      <alignment vertical="center" wrapText="1"/>
    </xf>
    <xf numFmtId="0" fontId="2" fillId="3" borderId="0" xfId="49" applyNumberFormat="1" applyFont="1" applyFill="1" applyBorder="1" applyAlignment="1">
      <alignment horizontal="center" vertical="center" wrapText="1"/>
    </xf>
    <xf numFmtId="0" fontId="3" fillId="4" borderId="0" xfId="49" applyNumberFormat="1" applyFont="1" applyFill="1" applyBorder="1" applyAlignment="1">
      <alignment vertical="top" wrapText="1"/>
    </xf>
    <xf numFmtId="176" fontId="3" fillId="4" borderId="0" xfId="49" applyNumberFormat="1" applyFont="1" applyFill="1" applyBorder="1" applyAlignment="1">
      <alignment vertical="top" wrapText="1"/>
    </xf>
    <xf numFmtId="0" fontId="3" fillId="5" borderId="0" xfId="49" applyNumberFormat="1" applyFont="1" applyFill="1" applyBorder="1" applyAlignment="1">
      <alignment vertical="top" wrapText="1"/>
    </xf>
    <xf numFmtId="176" fontId="3" fillId="5" borderId="0" xfId="49" applyNumberFormat="1" applyFont="1" applyFill="1" applyBorder="1" applyAlignment="1">
      <alignment vertical="top" wrapText="1"/>
    </xf>
    <xf numFmtId="0" fontId="4" fillId="6" borderId="0" xfId="49" applyNumberFormat="1" applyFont="1" applyFill="1" applyBorder="1" applyAlignment="1">
      <alignment vertical="center"/>
    </xf>
    <xf numFmtId="177" fontId="3" fillId="4" borderId="0" xfId="49" applyNumberFormat="1" applyFont="1" applyFill="1" applyBorder="1" applyAlignment="1">
      <alignment vertical="top" wrapText="1"/>
    </xf>
    <xf numFmtId="0" fontId="5" fillId="4" borderId="0" xfId="49" applyNumberFormat="1" applyFont="1" applyFill="1" applyBorder="1" applyAlignment="1">
      <alignment vertical="top" wrapText="1"/>
    </xf>
    <xf numFmtId="176" fontId="5" fillId="5" borderId="0" xfId="49" applyNumberFormat="1" applyFont="1" applyFill="1" applyBorder="1" applyAlignment="1">
      <alignment vertical="top" wrapText="1"/>
    </xf>
    <xf numFmtId="177" fontId="3" fillId="5" borderId="0" xfId="49" applyNumberFormat="1" applyFont="1" applyFill="1" applyBorder="1" applyAlignment="1">
      <alignment vertical="top" wrapText="1"/>
    </xf>
    <xf numFmtId="0" fontId="5" fillId="5"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B57"/>
  </sheetPr>
  <dimension ref="A1:P51"/>
  <sheetViews>
    <sheetView showGridLines="0" workbookViewId="0">
      <pane xSplit="2" ySplit="1" topLeftCell="D2" activePane="bottomRight" state="frozen"/>
      <selection/>
      <selection pane="topRight"/>
      <selection pane="bottomLeft"/>
      <selection pane="bottomRight" activeCell="P1" sqref="P$1:P$1048576"/>
    </sheetView>
  </sheetViews>
  <sheetFormatPr defaultColWidth="9" defaultRowHeight="16.8"/>
  <cols>
    <col min="1" max="2" width="8.69852941176471" customWidth="1"/>
    <col min="3" max="3" width="11.8823529411765" customWidth="1"/>
    <col min="4" max="4" width="10.4117647058824" customWidth="1"/>
    <col min="5" max="5" width="26.2205882352941" customWidth="1"/>
    <col min="6" max="6" width="6.24264705882353" customWidth="1"/>
    <col min="7" max="13" width="14.4632352941176" customWidth="1"/>
    <col min="14" max="15" width="18.0073529411765" customWidth="1"/>
    <col min="16" max="16" width="16.9117647058824" customWidth="1"/>
  </cols>
  <sheetData>
    <row r="1" ht="36" customHeight="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28" customHeight="1" spans="1:16">
      <c r="A2" s="3" t="s">
        <v>16</v>
      </c>
      <c r="B2" s="3" t="s">
        <v>17</v>
      </c>
      <c r="C2" s="3" t="s">
        <v>18</v>
      </c>
      <c r="D2" s="3" t="s">
        <v>19</v>
      </c>
      <c r="E2" s="9" t="s">
        <v>20</v>
      </c>
      <c r="F2" s="3">
        <v>2014</v>
      </c>
      <c r="G2" s="3" t="s">
        <v>21</v>
      </c>
      <c r="H2" s="9" t="s">
        <v>22</v>
      </c>
      <c r="I2" s="3" t="s">
        <v>23</v>
      </c>
      <c r="J2" s="3" t="s">
        <v>24</v>
      </c>
      <c r="K2" s="3" t="s">
        <v>25</v>
      </c>
      <c r="L2" s="3" t="s">
        <v>26</v>
      </c>
      <c r="M2" s="3" t="s">
        <v>27</v>
      </c>
      <c r="N2" s="9" t="s">
        <v>28</v>
      </c>
      <c r="O2" s="3" t="s">
        <v>29</v>
      </c>
      <c r="P2" s="9" t="s">
        <v>30</v>
      </c>
    </row>
    <row r="3" ht="128" customHeight="1" spans="1:16">
      <c r="A3" s="3" t="s">
        <v>31</v>
      </c>
      <c r="B3" s="3" t="s">
        <v>32</v>
      </c>
      <c r="C3" s="3" t="s">
        <v>33</v>
      </c>
      <c r="D3" s="3" t="s">
        <v>19</v>
      </c>
      <c r="E3" s="9" t="s">
        <v>34</v>
      </c>
      <c r="F3" s="3">
        <v>2015</v>
      </c>
      <c r="G3" s="3" t="s">
        <v>35</v>
      </c>
      <c r="H3" s="3" t="s">
        <v>36</v>
      </c>
      <c r="I3" s="3" t="s">
        <v>37</v>
      </c>
      <c r="J3" s="3" t="s">
        <v>38</v>
      </c>
      <c r="K3" s="3" t="s">
        <v>39</v>
      </c>
      <c r="L3" s="3" t="s">
        <v>40</v>
      </c>
      <c r="M3" s="3" t="s">
        <v>41</v>
      </c>
      <c r="N3" s="9" t="s">
        <v>42</v>
      </c>
      <c r="O3" s="9" t="s">
        <v>43</v>
      </c>
      <c r="P3" s="3">
        <f>2500/20</f>
        <v>125</v>
      </c>
    </row>
    <row r="4" ht="128" customHeight="1" spans="1:16">
      <c r="A4" s="9" t="s">
        <v>44</v>
      </c>
      <c r="B4" s="3" t="s">
        <v>45</v>
      </c>
      <c r="C4" s="3" t="s">
        <v>46</v>
      </c>
      <c r="D4" s="3" t="s">
        <v>19</v>
      </c>
      <c r="E4" s="3" t="s">
        <v>47</v>
      </c>
      <c r="F4" s="3">
        <v>2014</v>
      </c>
      <c r="G4" s="3" t="s">
        <v>48</v>
      </c>
      <c r="H4" s="3" t="s">
        <v>49</v>
      </c>
      <c r="I4" s="3" t="s">
        <v>50</v>
      </c>
      <c r="J4" s="3" t="s">
        <v>51</v>
      </c>
      <c r="K4" s="3" t="s">
        <v>52</v>
      </c>
      <c r="L4" s="3" t="s">
        <v>53</v>
      </c>
      <c r="M4" s="3" t="s">
        <v>54</v>
      </c>
      <c r="N4" s="9" t="s">
        <v>28</v>
      </c>
      <c r="O4" s="9" t="s">
        <v>55</v>
      </c>
      <c r="P4" s="3">
        <v>70</v>
      </c>
    </row>
    <row r="5" ht="128" customHeight="1" spans="1:16">
      <c r="A5" s="5" t="s">
        <v>56</v>
      </c>
      <c r="B5" s="5" t="s">
        <v>57</v>
      </c>
      <c r="C5" s="5" t="s">
        <v>33</v>
      </c>
      <c r="D5" s="5" t="s">
        <v>19</v>
      </c>
      <c r="E5" s="5" t="s">
        <v>58</v>
      </c>
      <c r="F5" s="5">
        <v>2014</v>
      </c>
      <c r="G5" s="5" t="s">
        <v>59</v>
      </c>
      <c r="H5" s="5" t="s">
        <v>60</v>
      </c>
      <c r="I5" s="5" t="s">
        <v>61</v>
      </c>
      <c r="J5" s="5" t="s">
        <v>62</v>
      </c>
      <c r="K5" s="5" t="s">
        <v>63</v>
      </c>
      <c r="L5" s="5" t="s">
        <v>64</v>
      </c>
      <c r="M5" s="5" t="s">
        <v>65</v>
      </c>
      <c r="N5" s="5" t="s">
        <v>66</v>
      </c>
      <c r="O5" s="5" t="s">
        <v>67</v>
      </c>
      <c r="P5" s="5" t="s">
        <v>68</v>
      </c>
    </row>
    <row r="6" ht="128" customHeight="1" spans="1:16">
      <c r="A6" s="3" t="s">
        <v>69</v>
      </c>
      <c r="B6" s="3" t="s">
        <v>70</v>
      </c>
      <c r="C6" s="3" t="s">
        <v>33</v>
      </c>
      <c r="D6" s="3" t="s">
        <v>19</v>
      </c>
      <c r="E6" s="3" t="s">
        <v>71</v>
      </c>
      <c r="F6" s="3">
        <v>2015</v>
      </c>
      <c r="G6" s="3" t="s">
        <v>72</v>
      </c>
      <c r="H6" s="3" t="s">
        <v>73</v>
      </c>
      <c r="I6" s="3" t="s">
        <v>74</v>
      </c>
      <c r="J6" s="3" t="s">
        <v>75</v>
      </c>
      <c r="K6" s="3" t="s">
        <v>76</v>
      </c>
      <c r="L6" s="3" t="s">
        <v>77</v>
      </c>
      <c r="M6" s="3" t="s">
        <v>78</v>
      </c>
      <c r="N6" s="3" t="s">
        <v>79</v>
      </c>
      <c r="O6" s="3" t="s">
        <v>80</v>
      </c>
      <c r="P6" s="3" t="s">
        <v>68</v>
      </c>
    </row>
    <row r="7" ht="128" customHeight="1" spans="1:16">
      <c r="A7" s="5" t="s">
        <v>81</v>
      </c>
      <c r="B7" s="5" t="s">
        <v>82</v>
      </c>
      <c r="C7" s="5" t="s">
        <v>33</v>
      </c>
      <c r="D7" s="5" t="s">
        <v>19</v>
      </c>
      <c r="E7" s="5" t="s">
        <v>83</v>
      </c>
      <c r="F7" s="5">
        <v>2015</v>
      </c>
      <c r="G7" s="5" t="s">
        <v>84</v>
      </c>
      <c r="H7" s="5" t="s">
        <v>85</v>
      </c>
      <c r="I7" s="5" t="s">
        <v>86</v>
      </c>
      <c r="J7" s="5" t="s">
        <v>87</v>
      </c>
      <c r="K7" s="5" t="s">
        <v>88</v>
      </c>
      <c r="L7" s="5" t="s">
        <v>89</v>
      </c>
      <c r="M7" s="5" t="s">
        <v>90</v>
      </c>
      <c r="N7" s="5" t="s">
        <v>91</v>
      </c>
      <c r="O7" s="5" t="s">
        <v>92</v>
      </c>
      <c r="P7" s="5" t="s">
        <v>93</v>
      </c>
    </row>
    <row r="8" ht="128" customHeight="1" spans="1:16">
      <c r="A8" s="3" t="s">
        <v>94</v>
      </c>
      <c r="B8" s="3" t="s">
        <v>95</v>
      </c>
      <c r="C8" s="3" t="s">
        <v>33</v>
      </c>
      <c r="D8" s="3" t="s">
        <v>19</v>
      </c>
      <c r="E8" s="3" t="s">
        <v>96</v>
      </c>
      <c r="F8" s="3">
        <v>2015</v>
      </c>
      <c r="G8" s="3" t="s">
        <v>97</v>
      </c>
      <c r="H8" s="3" t="s">
        <v>98</v>
      </c>
      <c r="I8" s="3" t="s">
        <v>99</v>
      </c>
      <c r="J8" s="3" t="s">
        <v>100</v>
      </c>
      <c r="K8" s="3" t="s">
        <v>101</v>
      </c>
      <c r="L8" s="3" t="s">
        <v>102</v>
      </c>
      <c r="M8" s="3" t="s">
        <v>103</v>
      </c>
      <c r="N8" s="3" t="s">
        <v>104</v>
      </c>
      <c r="O8" s="3" t="s">
        <v>105</v>
      </c>
      <c r="P8" s="3" t="s">
        <v>106</v>
      </c>
    </row>
    <row r="9" ht="128" customHeight="1" spans="1:16">
      <c r="A9" s="5" t="s">
        <v>107</v>
      </c>
      <c r="B9" s="5" t="s">
        <v>108</v>
      </c>
      <c r="C9" s="5" t="s">
        <v>109</v>
      </c>
      <c r="D9" s="5" t="s">
        <v>19</v>
      </c>
      <c r="E9" s="5" t="s">
        <v>110</v>
      </c>
      <c r="F9" s="5">
        <v>2015</v>
      </c>
      <c r="G9" s="5" t="s">
        <v>111</v>
      </c>
      <c r="H9" s="5" t="s">
        <v>112</v>
      </c>
      <c r="I9" s="5" t="s">
        <v>113</v>
      </c>
      <c r="J9" s="5" t="s">
        <v>114</v>
      </c>
      <c r="K9" s="5" t="s">
        <v>115</v>
      </c>
      <c r="L9" s="5" t="s">
        <v>116</v>
      </c>
      <c r="M9" s="5" t="s">
        <v>117</v>
      </c>
      <c r="N9" s="5" t="s">
        <v>118</v>
      </c>
      <c r="O9" s="5" t="s">
        <v>119</v>
      </c>
      <c r="P9" s="5" t="s">
        <v>68</v>
      </c>
    </row>
    <row r="10" ht="128" customHeight="1" spans="1:16">
      <c r="A10" s="5" t="s">
        <v>120</v>
      </c>
      <c r="B10" s="5" t="s">
        <v>121</v>
      </c>
      <c r="C10" s="5" t="s">
        <v>122</v>
      </c>
      <c r="D10" s="5" t="s">
        <v>19</v>
      </c>
      <c r="E10" s="5" t="s">
        <v>123</v>
      </c>
      <c r="F10" s="5">
        <v>2015</v>
      </c>
      <c r="G10" s="5" t="s">
        <v>124</v>
      </c>
      <c r="H10" s="5" t="s">
        <v>125</v>
      </c>
      <c r="I10" s="5" t="s">
        <v>126</v>
      </c>
      <c r="J10" s="5" t="s">
        <v>127</v>
      </c>
      <c r="K10" s="5" t="s">
        <v>128</v>
      </c>
      <c r="L10" s="5" t="s">
        <v>129</v>
      </c>
      <c r="M10" s="5" t="s">
        <v>130</v>
      </c>
      <c r="N10" s="5" t="s">
        <v>131</v>
      </c>
      <c r="O10" s="5" t="s">
        <v>132</v>
      </c>
      <c r="P10" s="5" t="s">
        <v>133</v>
      </c>
    </row>
    <row r="11" ht="128" customHeight="1" spans="1:16">
      <c r="A11" s="3" t="s">
        <v>134</v>
      </c>
      <c r="B11" s="3" t="s">
        <v>135</v>
      </c>
      <c r="C11" s="3" t="s">
        <v>136</v>
      </c>
      <c r="D11" s="3" t="s">
        <v>19</v>
      </c>
      <c r="E11" s="3" t="s">
        <v>137</v>
      </c>
      <c r="F11" s="3">
        <v>2015</v>
      </c>
      <c r="G11" s="3" t="s">
        <v>138</v>
      </c>
      <c r="H11" s="3" t="s">
        <v>139</v>
      </c>
      <c r="I11" s="3" t="s">
        <v>140</v>
      </c>
      <c r="J11" s="3" t="s">
        <v>141</v>
      </c>
      <c r="K11" s="3" t="s">
        <v>142</v>
      </c>
      <c r="L11" s="3" t="s">
        <v>143</v>
      </c>
      <c r="M11" s="3" t="s">
        <v>144</v>
      </c>
      <c r="N11" s="3" t="s">
        <v>145</v>
      </c>
      <c r="O11" s="3" t="s">
        <v>146</v>
      </c>
      <c r="P11" s="3" t="s">
        <v>147</v>
      </c>
    </row>
    <row r="12" ht="128" customHeight="1" spans="1:16">
      <c r="A12" s="5" t="s">
        <v>148</v>
      </c>
      <c r="B12" s="5" t="s">
        <v>149</v>
      </c>
      <c r="C12" s="5" t="s">
        <v>136</v>
      </c>
      <c r="D12" s="5" t="s">
        <v>19</v>
      </c>
      <c r="E12" s="5" t="s">
        <v>150</v>
      </c>
      <c r="F12" s="5">
        <v>2015</v>
      </c>
      <c r="G12" s="5" t="s">
        <v>151</v>
      </c>
      <c r="H12" s="5" t="s">
        <v>152</v>
      </c>
      <c r="I12" s="5" t="s">
        <v>153</v>
      </c>
      <c r="J12" s="5" t="s">
        <v>154</v>
      </c>
      <c r="K12" s="5" t="s">
        <v>155</v>
      </c>
      <c r="L12" s="5" t="s">
        <v>156</v>
      </c>
      <c r="M12" s="5" t="s">
        <v>157</v>
      </c>
      <c r="N12" s="5" t="s">
        <v>158</v>
      </c>
      <c r="O12" s="5" t="s">
        <v>159</v>
      </c>
      <c r="P12" s="5" t="s">
        <v>68</v>
      </c>
    </row>
    <row r="13" ht="128" customHeight="1" spans="1:16">
      <c r="A13" s="3" t="s">
        <v>160</v>
      </c>
      <c r="B13" s="3" t="s">
        <v>161</v>
      </c>
      <c r="C13" s="3" t="s">
        <v>18</v>
      </c>
      <c r="D13" s="3" t="s">
        <v>19</v>
      </c>
      <c r="E13" s="3" t="s">
        <v>162</v>
      </c>
      <c r="F13" s="3">
        <v>2016</v>
      </c>
      <c r="G13" s="3" t="s">
        <v>163</v>
      </c>
      <c r="H13" s="3" t="s">
        <v>164</v>
      </c>
      <c r="I13" s="3" t="s">
        <v>165</v>
      </c>
      <c r="J13" s="3" t="s">
        <v>166</v>
      </c>
      <c r="K13" s="3" t="s">
        <v>167</v>
      </c>
      <c r="L13" s="3" t="s">
        <v>168</v>
      </c>
      <c r="M13" s="3" t="s">
        <v>169</v>
      </c>
      <c r="N13" s="3" t="s">
        <v>170</v>
      </c>
      <c r="O13" s="3" t="s">
        <v>171</v>
      </c>
      <c r="P13" s="3" t="s">
        <v>172</v>
      </c>
    </row>
    <row r="14" ht="128" customHeight="1" spans="1:16">
      <c r="A14" s="3" t="s">
        <v>173</v>
      </c>
      <c r="B14" s="3" t="s">
        <v>174</v>
      </c>
      <c r="C14" s="3" t="s">
        <v>33</v>
      </c>
      <c r="D14" s="3" t="s">
        <v>19</v>
      </c>
      <c r="E14" s="3" t="s">
        <v>175</v>
      </c>
      <c r="F14" s="3">
        <v>2016</v>
      </c>
      <c r="G14" s="3" t="s">
        <v>176</v>
      </c>
      <c r="H14" s="3" t="s">
        <v>177</v>
      </c>
      <c r="I14" s="3" t="s">
        <v>178</v>
      </c>
      <c r="J14" s="3" t="s">
        <v>179</v>
      </c>
      <c r="K14" s="3" t="s">
        <v>180</v>
      </c>
      <c r="L14" s="3" t="s">
        <v>181</v>
      </c>
      <c r="M14" s="3" t="s">
        <v>182</v>
      </c>
      <c r="N14" s="3" t="s">
        <v>183</v>
      </c>
      <c r="O14" s="3" t="s">
        <v>184</v>
      </c>
      <c r="P14" s="3" t="s">
        <v>185</v>
      </c>
    </row>
    <row r="15" ht="128" customHeight="1" spans="1:16">
      <c r="A15" s="5" t="s">
        <v>186</v>
      </c>
      <c r="B15" s="5" t="s">
        <v>187</v>
      </c>
      <c r="C15" s="5" t="s">
        <v>33</v>
      </c>
      <c r="D15" s="5" t="s">
        <v>19</v>
      </c>
      <c r="E15" s="5" t="s">
        <v>188</v>
      </c>
      <c r="F15" s="5">
        <v>2016</v>
      </c>
      <c r="G15" s="5" t="s">
        <v>189</v>
      </c>
      <c r="H15" s="5" t="s">
        <v>190</v>
      </c>
      <c r="I15" s="5" t="s">
        <v>191</v>
      </c>
      <c r="J15" s="5" t="s">
        <v>192</v>
      </c>
      <c r="K15" s="5" t="s">
        <v>193</v>
      </c>
      <c r="L15" s="5" t="s">
        <v>194</v>
      </c>
      <c r="M15" s="5" t="s">
        <v>195</v>
      </c>
      <c r="N15" s="5" t="s">
        <v>196</v>
      </c>
      <c r="O15" s="5" t="s">
        <v>197</v>
      </c>
      <c r="P15" s="5" t="s">
        <v>68</v>
      </c>
    </row>
    <row r="16" ht="128" customHeight="1" spans="1:16">
      <c r="A16" s="3" t="s">
        <v>198</v>
      </c>
      <c r="B16" s="3" t="s">
        <v>199</v>
      </c>
      <c r="C16" s="3" t="s">
        <v>200</v>
      </c>
      <c r="D16" s="3" t="s">
        <v>19</v>
      </c>
      <c r="E16" s="3" t="s">
        <v>201</v>
      </c>
      <c r="F16" s="3">
        <v>2016</v>
      </c>
      <c r="G16" s="3" t="s">
        <v>202</v>
      </c>
      <c r="H16" s="3" t="s">
        <v>203</v>
      </c>
      <c r="I16" s="3" t="s">
        <v>204</v>
      </c>
      <c r="J16" s="3" t="s">
        <v>205</v>
      </c>
      <c r="K16" s="3" t="s">
        <v>206</v>
      </c>
      <c r="L16" s="3" t="s">
        <v>207</v>
      </c>
      <c r="M16" s="3" t="s">
        <v>208</v>
      </c>
      <c r="N16" s="3" t="s">
        <v>209</v>
      </c>
      <c r="O16" s="3" t="s">
        <v>210</v>
      </c>
      <c r="P16" s="3" t="s">
        <v>211</v>
      </c>
    </row>
    <row r="17" ht="128" customHeight="1" spans="1:16">
      <c r="A17" s="3" t="s">
        <v>212</v>
      </c>
      <c r="B17" s="3" t="s">
        <v>213</v>
      </c>
      <c r="C17" s="3" t="s">
        <v>200</v>
      </c>
      <c r="D17" s="3" t="s">
        <v>19</v>
      </c>
      <c r="E17" s="3" t="s">
        <v>214</v>
      </c>
      <c r="F17" s="3">
        <v>2016</v>
      </c>
      <c r="G17" s="3" t="s">
        <v>215</v>
      </c>
      <c r="H17" s="3" t="s">
        <v>216</v>
      </c>
      <c r="I17" s="3" t="s">
        <v>217</v>
      </c>
      <c r="J17" s="3" t="s">
        <v>218</v>
      </c>
      <c r="K17" s="3" t="s">
        <v>219</v>
      </c>
      <c r="L17" s="3" t="s">
        <v>220</v>
      </c>
      <c r="M17" s="3" t="s">
        <v>221</v>
      </c>
      <c r="N17" s="3" t="s">
        <v>222</v>
      </c>
      <c r="O17" s="3" t="s">
        <v>223</v>
      </c>
      <c r="P17" s="3" t="s">
        <v>68</v>
      </c>
    </row>
    <row r="18" ht="128" customHeight="1" spans="1:16">
      <c r="A18" s="5" t="s">
        <v>224</v>
      </c>
      <c r="B18" s="5" t="s">
        <v>225</v>
      </c>
      <c r="C18" s="5" t="s">
        <v>200</v>
      </c>
      <c r="D18" s="5" t="s">
        <v>19</v>
      </c>
      <c r="E18" s="5" t="s">
        <v>226</v>
      </c>
      <c r="F18" s="5">
        <v>2016</v>
      </c>
      <c r="G18" s="5" t="s">
        <v>227</v>
      </c>
      <c r="H18" s="5" t="s">
        <v>228</v>
      </c>
      <c r="I18" s="5" t="s">
        <v>229</v>
      </c>
      <c r="J18" s="5" t="s">
        <v>230</v>
      </c>
      <c r="K18" s="5" t="s">
        <v>231</v>
      </c>
      <c r="L18" s="5" t="s">
        <v>232</v>
      </c>
      <c r="M18" s="5" t="s">
        <v>233</v>
      </c>
      <c r="N18" s="5" t="s">
        <v>234</v>
      </c>
      <c r="O18" s="5" t="s">
        <v>235</v>
      </c>
      <c r="P18" s="5" t="s">
        <v>236</v>
      </c>
    </row>
    <row r="19" ht="128" customHeight="1" spans="1:16">
      <c r="A19" s="3" t="s">
        <v>237</v>
      </c>
      <c r="B19" s="3" t="s">
        <v>238</v>
      </c>
      <c r="C19" s="3" t="s">
        <v>109</v>
      </c>
      <c r="D19" s="3" t="s">
        <v>19</v>
      </c>
      <c r="E19" s="3" t="s">
        <v>239</v>
      </c>
      <c r="F19" s="3">
        <v>2016</v>
      </c>
      <c r="G19" s="3" t="s">
        <v>240</v>
      </c>
      <c r="H19" s="3" t="s">
        <v>241</v>
      </c>
      <c r="I19" s="3" t="s">
        <v>242</v>
      </c>
      <c r="J19" s="3" t="s">
        <v>243</v>
      </c>
      <c r="K19" s="3" t="s">
        <v>244</v>
      </c>
      <c r="L19" s="3" t="s">
        <v>245</v>
      </c>
      <c r="M19" s="3" t="s">
        <v>246</v>
      </c>
      <c r="N19" s="3" t="s">
        <v>247</v>
      </c>
      <c r="O19" s="3" t="s">
        <v>248</v>
      </c>
      <c r="P19" s="3" t="s">
        <v>249</v>
      </c>
    </row>
    <row r="20" ht="128" customHeight="1" spans="1:16">
      <c r="A20" s="3" t="s">
        <v>250</v>
      </c>
      <c r="B20" s="3" t="s">
        <v>251</v>
      </c>
      <c r="C20" s="3" t="s">
        <v>252</v>
      </c>
      <c r="D20" s="3" t="s">
        <v>19</v>
      </c>
      <c r="E20" s="3" t="s">
        <v>253</v>
      </c>
      <c r="F20" s="3">
        <v>2016</v>
      </c>
      <c r="G20" s="3" t="s">
        <v>254</v>
      </c>
      <c r="H20" s="3" t="s">
        <v>255</v>
      </c>
      <c r="I20" s="3" t="s">
        <v>256</v>
      </c>
      <c r="J20" s="3" t="s">
        <v>257</v>
      </c>
      <c r="K20" s="3" t="s">
        <v>258</v>
      </c>
      <c r="L20" s="3" t="s">
        <v>259</v>
      </c>
      <c r="M20" s="3" t="s">
        <v>260</v>
      </c>
      <c r="N20" s="3" t="s">
        <v>261</v>
      </c>
      <c r="O20" s="3" t="s">
        <v>262</v>
      </c>
      <c r="P20" s="3" t="s">
        <v>68</v>
      </c>
    </row>
    <row r="21" ht="128" customHeight="1" spans="1:16">
      <c r="A21" s="5" t="s">
        <v>263</v>
      </c>
      <c r="B21" s="5" t="s">
        <v>264</v>
      </c>
      <c r="C21" s="5" t="s">
        <v>122</v>
      </c>
      <c r="D21" s="5" t="s">
        <v>19</v>
      </c>
      <c r="E21" s="5" t="s">
        <v>265</v>
      </c>
      <c r="F21" s="5">
        <v>2017</v>
      </c>
      <c r="G21" s="5" t="s">
        <v>266</v>
      </c>
      <c r="H21" s="5" t="s">
        <v>267</v>
      </c>
      <c r="I21" s="5" t="s">
        <v>268</v>
      </c>
      <c r="J21" s="5" t="s">
        <v>269</v>
      </c>
      <c r="K21" s="5" t="s">
        <v>270</v>
      </c>
      <c r="L21" s="5" t="s">
        <v>271</v>
      </c>
      <c r="M21" s="5" t="s">
        <v>272</v>
      </c>
      <c r="N21" s="5" t="s">
        <v>273</v>
      </c>
      <c r="O21" s="5" t="s">
        <v>274</v>
      </c>
      <c r="P21" s="5" t="s">
        <v>275</v>
      </c>
    </row>
    <row r="22" ht="128" customHeight="1" spans="1:16">
      <c r="A22" s="3" t="s">
        <v>276</v>
      </c>
      <c r="B22" s="3" t="s">
        <v>277</v>
      </c>
      <c r="C22" s="3" t="s">
        <v>200</v>
      </c>
      <c r="D22" s="3" t="s">
        <v>19</v>
      </c>
      <c r="E22" s="3" t="s">
        <v>278</v>
      </c>
      <c r="F22" s="3">
        <v>2017</v>
      </c>
      <c r="G22" s="3" t="s">
        <v>279</v>
      </c>
      <c r="H22" s="3" t="s">
        <v>280</v>
      </c>
      <c r="I22" s="3" t="s">
        <v>281</v>
      </c>
      <c r="J22" s="3" t="s">
        <v>282</v>
      </c>
      <c r="K22" s="3" t="s">
        <v>283</v>
      </c>
      <c r="L22" s="3" t="s">
        <v>284</v>
      </c>
      <c r="M22" s="3" t="s">
        <v>285</v>
      </c>
      <c r="N22" s="3" t="s">
        <v>286</v>
      </c>
      <c r="O22" s="3" t="s">
        <v>287</v>
      </c>
      <c r="P22" s="3" t="s">
        <v>68</v>
      </c>
    </row>
    <row r="23" ht="128" customHeight="1" spans="1:16">
      <c r="A23" s="5" t="s">
        <v>288</v>
      </c>
      <c r="B23" s="5" t="s">
        <v>289</v>
      </c>
      <c r="C23" s="5" t="s">
        <v>33</v>
      </c>
      <c r="D23" s="5" t="s">
        <v>19</v>
      </c>
      <c r="E23" s="5" t="s">
        <v>290</v>
      </c>
      <c r="F23" s="5">
        <v>2018</v>
      </c>
      <c r="G23" s="5" t="s">
        <v>291</v>
      </c>
      <c r="H23" s="5" t="s">
        <v>292</v>
      </c>
      <c r="I23" s="5" t="s">
        <v>293</v>
      </c>
      <c r="J23" s="5" t="s">
        <v>294</v>
      </c>
      <c r="K23" s="5" t="s">
        <v>295</v>
      </c>
      <c r="L23" s="5" t="s">
        <v>296</v>
      </c>
      <c r="M23" s="5" t="s">
        <v>297</v>
      </c>
      <c r="N23" s="5" t="s">
        <v>298</v>
      </c>
      <c r="O23" s="5" t="s">
        <v>299</v>
      </c>
      <c r="P23" s="5" t="s">
        <v>68</v>
      </c>
    </row>
    <row r="24" ht="128" customHeight="1" spans="1:16">
      <c r="A24" s="5" t="s">
        <v>300</v>
      </c>
      <c r="B24" s="5" t="s">
        <v>301</v>
      </c>
      <c r="C24" s="5" t="s">
        <v>252</v>
      </c>
      <c r="D24" s="5" t="s">
        <v>19</v>
      </c>
      <c r="E24" s="5" t="s">
        <v>302</v>
      </c>
      <c r="F24" s="5">
        <v>2018</v>
      </c>
      <c r="G24" s="5" t="s">
        <v>303</v>
      </c>
      <c r="H24" s="5" t="s">
        <v>304</v>
      </c>
      <c r="I24" s="5" t="s">
        <v>305</v>
      </c>
      <c r="J24" s="5" t="s">
        <v>306</v>
      </c>
      <c r="K24" s="5" t="s">
        <v>307</v>
      </c>
      <c r="L24" s="5" t="s">
        <v>308</v>
      </c>
      <c r="M24" s="5" t="s">
        <v>309</v>
      </c>
      <c r="N24" s="5" t="s">
        <v>310</v>
      </c>
      <c r="O24" s="5" t="s">
        <v>311</v>
      </c>
      <c r="P24" s="5" t="s">
        <v>68</v>
      </c>
    </row>
    <row r="25" ht="128" customHeight="1" spans="1:16">
      <c r="A25" s="3" t="s">
        <v>312</v>
      </c>
      <c r="B25" s="3" t="s">
        <v>313</v>
      </c>
      <c r="C25" s="3" t="s">
        <v>314</v>
      </c>
      <c r="D25" s="3" t="s">
        <v>19</v>
      </c>
      <c r="E25" s="3" t="s">
        <v>315</v>
      </c>
      <c r="F25" s="3">
        <v>2019</v>
      </c>
      <c r="G25" s="3" t="s">
        <v>316</v>
      </c>
      <c r="H25" s="3" t="s">
        <v>317</v>
      </c>
      <c r="I25" s="3" t="s">
        <v>318</v>
      </c>
      <c r="J25" s="3" t="s">
        <v>319</v>
      </c>
      <c r="K25" s="3" t="s">
        <v>320</v>
      </c>
      <c r="L25" s="3" t="s">
        <v>321</v>
      </c>
      <c r="M25" s="3" t="s">
        <v>322</v>
      </c>
      <c r="N25" s="3" t="s">
        <v>323</v>
      </c>
      <c r="O25" s="3" t="s">
        <v>324</v>
      </c>
      <c r="P25" s="3" t="s">
        <v>325</v>
      </c>
    </row>
    <row r="26" ht="128" customHeight="1" spans="1:16">
      <c r="A26" s="3" t="s">
        <v>326</v>
      </c>
      <c r="B26" s="3" t="s">
        <v>327</v>
      </c>
      <c r="C26" s="3" t="s">
        <v>122</v>
      </c>
      <c r="D26" s="3" t="s">
        <v>19</v>
      </c>
      <c r="E26" s="3" t="s">
        <v>328</v>
      </c>
      <c r="F26" s="3">
        <v>2020</v>
      </c>
      <c r="G26" s="3" t="s">
        <v>329</v>
      </c>
      <c r="H26" s="3" t="s">
        <v>330</v>
      </c>
      <c r="I26" s="3" t="s">
        <v>331</v>
      </c>
      <c r="J26" s="3" t="s">
        <v>332</v>
      </c>
      <c r="K26" s="3" t="s">
        <v>333</v>
      </c>
      <c r="L26" s="3" t="s">
        <v>334</v>
      </c>
      <c r="M26" s="3" t="s">
        <v>335</v>
      </c>
      <c r="N26" s="3" t="s">
        <v>336</v>
      </c>
      <c r="O26" s="3" t="s">
        <v>337</v>
      </c>
      <c r="P26" s="3" t="s">
        <v>338</v>
      </c>
    </row>
    <row r="27" ht="128" customHeight="1" spans="1:16">
      <c r="A27" s="3" t="s">
        <v>339</v>
      </c>
      <c r="B27" s="3" t="s">
        <v>340</v>
      </c>
      <c r="C27" s="3" t="s">
        <v>341</v>
      </c>
      <c r="D27" s="3" t="s">
        <v>19</v>
      </c>
      <c r="E27" s="3" t="s">
        <v>342</v>
      </c>
      <c r="F27" s="3">
        <v>2020</v>
      </c>
      <c r="G27" s="3" t="s">
        <v>343</v>
      </c>
      <c r="H27" s="3" t="s">
        <v>344</v>
      </c>
      <c r="I27" s="3" t="s">
        <v>345</v>
      </c>
      <c r="J27" s="3" t="s">
        <v>346</v>
      </c>
      <c r="K27" s="3" t="s">
        <v>347</v>
      </c>
      <c r="L27" s="3" t="s">
        <v>348</v>
      </c>
      <c r="M27" s="3" t="s">
        <v>349</v>
      </c>
      <c r="N27" s="3" t="s">
        <v>350</v>
      </c>
      <c r="O27" s="3" t="s">
        <v>351</v>
      </c>
      <c r="P27" s="3" t="s">
        <v>352</v>
      </c>
    </row>
    <row r="28" ht="128" customHeight="1" spans="1:16">
      <c r="A28" s="3" t="s">
        <v>353</v>
      </c>
      <c r="B28" s="3" t="s">
        <v>354</v>
      </c>
      <c r="C28" s="3" t="s">
        <v>33</v>
      </c>
      <c r="D28" s="3" t="s">
        <v>19</v>
      </c>
      <c r="E28" s="3" t="s">
        <v>355</v>
      </c>
      <c r="F28" s="3">
        <v>2020</v>
      </c>
      <c r="G28" s="3" t="s">
        <v>356</v>
      </c>
      <c r="H28" s="3" t="s">
        <v>357</v>
      </c>
      <c r="I28" s="3" t="s">
        <v>358</v>
      </c>
      <c r="J28" s="3" t="s">
        <v>359</v>
      </c>
      <c r="K28" s="3" t="s">
        <v>360</v>
      </c>
      <c r="L28" s="3" t="s">
        <v>361</v>
      </c>
      <c r="M28" s="3" t="s">
        <v>362</v>
      </c>
      <c r="N28" s="3" t="s">
        <v>363</v>
      </c>
      <c r="O28" s="3" t="s">
        <v>299</v>
      </c>
      <c r="P28" s="3" t="s">
        <v>68</v>
      </c>
    </row>
    <row r="29" ht="128" customHeight="1" spans="1:16">
      <c r="A29" s="5" t="s">
        <v>364</v>
      </c>
      <c r="B29" s="5" t="s">
        <v>365</v>
      </c>
      <c r="C29" s="5" t="s">
        <v>33</v>
      </c>
      <c r="D29" s="5" t="s">
        <v>19</v>
      </c>
      <c r="E29" s="5" t="s">
        <v>366</v>
      </c>
      <c r="F29" s="5">
        <v>2020</v>
      </c>
      <c r="G29" s="5" t="s">
        <v>367</v>
      </c>
      <c r="H29" s="5" t="s">
        <v>368</v>
      </c>
      <c r="I29" s="5" t="s">
        <v>369</v>
      </c>
      <c r="J29" s="5" t="s">
        <v>370</v>
      </c>
      <c r="K29" s="5" t="s">
        <v>371</v>
      </c>
      <c r="L29" s="5" t="s">
        <v>372</v>
      </c>
      <c r="M29" s="5" t="s">
        <v>373</v>
      </c>
      <c r="N29" s="5" t="s">
        <v>374</v>
      </c>
      <c r="O29" s="5" t="s">
        <v>375</v>
      </c>
      <c r="P29" s="5" t="s">
        <v>68</v>
      </c>
    </row>
    <row r="30" ht="128" customHeight="1" spans="1:16">
      <c r="A30" s="5" t="s">
        <v>376</v>
      </c>
      <c r="B30" s="5" t="s">
        <v>377</v>
      </c>
      <c r="C30" s="5" t="s">
        <v>200</v>
      </c>
      <c r="D30" s="5" t="s">
        <v>19</v>
      </c>
      <c r="E30" s="5" t="s">
        <v>378</v>
      </c>
      <c r="F30" s="5">
        <v>2020</v>
      </c>
      <c r="G30" s="5" t="s">
        <v>379</v>
      </c>
      <c r="H30" s="5" t="s">
        <v>380</v>
      </c>
      <c r="I30" s="5" t="s">
        <v>381</v>
      </c>
      <c r="J30" s="5" t="s">
        <v>382</v>
      </c>
      <c r="K30" s="5" t="s">
        <v>383</v>
      </c>
      <c r="L30" s="5" t="s">
        <v>384</v>
      </c>
      <c r="M30" s="5" t="s">
        <v>385</v>
      </c>
      <c r="N30" s="5" t="s">
        <v>386</v>
      </c>
      <c r="O30" s="5" t="s">
        <v>387</v>
      </c>
      <c r="P30" s="5" t="s">
        <v>388</v>
      </c>
    </row>
    <row r="31" ht="128" customHeight="1" spans="1:16">
      <c r="A31" s="3" t="s">
        <v>389</v>
      </c>
      <c r="B31" s="3" t="s">
        <v>390</v>
      </c>
      <c r="C31" s="3" t="s">
        <v>122</v>
      </c>
      <c r="D31" s="3" t="s">
        <v>19</v>
      </c>
      <c r="E31" s="3" t="s">
        <v>391</v>
      </c>
      <c r="F31" s="3">
        <v>2020</v>
      </c>
      <c r="G31" s="3" t="s">
        <v>392</v>
      </c>
      <c r="H31" s="3" t="s">
        <v>393</v>
      </c>
      <c r="I31" s="3" t="s">
        <v>394</v>
      </c>
      <c r="J31" s="3" t="s">
        <v>395</v>
      </c>
      <c r="K31" s="3" t="s">
        <v>396</v>
      </c>
      <c r="L31" s="3" t="s">
        <v>397</v>
      </c>
      <c r="M31" s="3" t="s">
        <v>398</v>
      </c>
      <c r="N31" s="3" t="s">
        <v>399</v>
      </c>
      <c r="O31" s="3" t="s">
        <v>400</v>
      </c>
      <c r="P31" s="3" t="s">
        <v>401</v>
      </c>
    </row>
    <row r="32" ht="128" customHeight="1" spans="1:16">
      <c r="A32" s="3" t="s">
        <v>402</v>
      </c>
      <c r="B32" s="3" t="s">
        <v>403</v>
      </c>
      <c r="C32" s="3" t="s">
        <v>122</v>
      </c>
      <c r="D32" s="3" t="s">
        <v>19</v>
      </c>
      <c r="E32" s="3" t="s">
        <v>404</v>
      </c>
      <c r="F32" s="3">
        <v>2020</v>
      </c>
      <c r="G32" s="3" t="s">
        <v>405</v>
      </c>
      <c r="H32" s="3" t="s">
        <v>406</v>
      </c>
      <c r="I32" s="3" t="s">
        <v>407</v>
      </c>
      <c r="J32" s="3" t="s">
        <v>408</v>
      </c>
      <c r="K32" s="3" t="s">
        <v>409</v>
      </c>
      <c r="L32" s="3" t="s">
        <v>410</v>
      </c>
      <c r="M32" s="3" t="s">
        <v>411</v>
      </c>
      <c r="N32" s="3" t="s">
        <v>412</v>
      </c>
      <c r="O32" s="3" t="s">
        <v>413</v>
      </c>
      <c r="P32" s="3" t="s">
        <v>414</v>
      </c>
    </row>
    <row r="33" ht="128" customHeight="1" spans="1:16">
      <c r="A33" s="3" t="s">
        <v>415</v>
      </c>
      <c r="B33" s="3" t="s">
        <v>416</v>
      </c>
      <c r="C33" s="3" t="s">
        <v>200</v>
      </c>
      <c r="D33" s="3" t="s">
        <v>19</v>
      </c>
      <c r="E33" s="3" t="s">
        <v>417</v>
      </c>
      <c r="F33" s="3">
        <v>2021</v>
      </c>
      <c r="G33" s="3" t="s">
        <v>418</v>
      </c>
      <c r="H33" s="3" t="s">
        <v>419</v>
      </c>
      <c r="I33" s="3" t="s">
        <v>420</v>
      </c>
      <c r="J33" s="3" t="s">
        <v>421</v>
      </c>
      <c r="K33" s="3" t="s">
        <v>422</v>
      </c>
      <c r="L33" s="3" t="s">
        <v>423</v>
      </c>
      <c r="M33" s="3" t="s">
        <v>424</v>
      </c>
      <c r="N33" s="3" t="s">
        <v>425</v>
      </c>
      <c r="O33" s="3" t="s">
        <v>426</v>
      </c>
      <c r="P33" s="3" t="s">
        <v>427</v>
      </c>
    </row>
    <row r="34" ht="128" customHeight="1" spans="1:16">
      <c r="A34" s="5" t="s">
        <v>428</v>
      </c>
      <c r="B34" s="5" t="s">
        <v>429</v>
      </c>
      <c r="C34" s="5" t="s">
        <v>109</v>
      </c>
      <c r="D34" s="5" t="s">
        <v>19</v>
      </c>
      <c r="E34" s="5" t="s">
        <v>430</v>
      </c>
      <c r="F34" s="5">
        <v>2021</v>
      </c>
      <c r="G34" s="5" t="s">
        <v>431</v>
      </c>
      <c r="H34" s="5" t="s">
        <v>432</v>
      </c>
      <c r="I34" s="5" t="s">
        <v>433</v>
      </c>
      <c r="J34" s="5" t="s">
        <v>434</v>
      </c>
      <c r="K34" s="5" t="s">
        <v>435</v>
      </c>
      <c r="L34" s="5" t="s">
        <v>436</v>
      </c>
      <c r="M34" s="5" t="s">
        <v>437</v>
      </c>
      <c r="N34" s="5" t="s">
        <v>438</v>
      </c>
      <c r="O34" s="5" t="s">
        <v>439</v>
      </c>
      <c r="P34" s="5" t="s">
        <v>68</v>
      </c>
    </row>
    <row r="35" ht="128" customHeight="1" spans="1:16">
      <c r="A35" s="5" t="s">
        <v>440</v>
      </c>
      <c r="B35" s="5" t="s">
        <v>441</v>
      </c>
      <c r="C35" s="5" t="s">
        <v>122</v>
      </c>
      <c r="D35" s="5" t="s">
        <v>19</v>
      </c>
      <c r="E35" s="5" t="s">
        <v>442</v>
      </c>
      <c r="F35" s="5">
        <v>2022</v>
      </c>
      <c r="G35" s="5" t="s">
        <v>443</v>
      </c>
      <c r="H35" s="5" t="s">
        <v>444</v>
      </c>
      <c r="I35" s="5" t="s">
        <v>445</v>
      </c>
      <c r="J35" s="5" t="s">
        <v>446</v>
      </c>
      <c r="K35" s="5" t="s">
        <v>447</v>
      </c>
      <c r="L35" s="5" t="s">
        <v>448</v>
      </c>
      <c r="M35" s="5" t="s">
        <v>449</v>
      </c>
      <c r="N35" s="5" t="s">
        <v>450</v>
      </c>
      <c r="O35" s="5" t="s">
        <v>451</v>
      </c>
      <c r="P35" s="5" t="s">
        <v>452</v>
      </c>
    </row>
    <row r="36" ht="128" customHeight="1" spans="1:16">
      <c r="A36" s="5" t="s">
        <v>453</v>
      </c>
      <c r="B36" s="5" t="s">
        <v>454</v>
      </c>
      <c r="C36" s="5" t="s">
        <v>314</v>
      </c>
      <c r="D36" s="5" t="s">
        <v>19</v>
      </c>
      <c r="E36" s="5" t="s">
        <v>455</v>
      </c>
      <c r="F36" s="5">
        <v>2022</v>
      </c>
      <c r="G36" s="5" t="s">
        <v>456</v>
      </c>
      <c r="H36" s="5" t="s">
        <v>457</v>
      </c>
      <c r="I36" s="5" t="s">
        <v>458</v>
      </c>
      <c r="J36" s="5" t="s">
        <v>459</v>
      </c>
      <c r="K36" s="5" t="s">
        <v>460</v>
      </c>
      <c r="L36" s="5" t="s">
        <v>461</v>
      </c>
      <c r="M36" s="5" t="s">
        <v>462</v>
      </c>
      <c r="N36" s="5" t="s">
        <v>463</v>
      </c>
      <c r="O36" s="5" t="s">
        <v>464</v>
      </c>
      <c r="P36" s="5" t="s">
        <v>465</v>
      </c>
    </row>
    <row r="37" ht="128" customHeight="1" spans="1:16">
      <c r="A37" s="5" t="s">
        <v>466</v>
      </c>
      <c r="B37" s="5" t="s">
        <v>467</v>
      </c>
      <c r="C37" s="5" t="s">
        <v>18</v>
      </c>
      <c r="D37" s="5" t="s">
        <v>19</v>
      </c>
      <c r="E37" s="5" t="s">
        <v>468</v>
      </c>
      <c r="F37" s="5">
        <v>2023</v>
      </c>
      <c r="G37" s="5" t="s">
        <v>469</v>
      </c>
      <c r="H37" s="5" t="s">
        <v>470</v>
      </c>
      <c r="I37" s="5" t="s">
        <v>471</v>
      </c>
      <c r="J37" s="5" t="s">
        <v>472</v>
      </c>
      <c r="K37" s="5" t="s">
        <v>473</v>
      </c>
      <c r="L37" s="5" t="s">
        <v>474</v>
      </c>
      <c r="M37" s="5" t="s">
        <v>475</v>
      </c>
      <c r="N37" s="5" t="s">
        <v>476</v>
      </c>
      <c r="O37" s="5" t="s">
        <v>477</v>
      </c>
      <c r="P37" s="5" t="s">
        <v>68</v>
      </c>
    </row>
    <row r="38" ht="128" customHeight="1" spans="1:16">
      <c r="A38" s="3" t="s">
        <v>478</v>
      </c>
      <c r="B38" s="3" t="s">
        <v>479</v>
      </c>
      <c r="C38" s="3" t="s">
        <v>18</v>
      </c>
      <c r="D38" s="3" t="s">
        <v>19</v>
      </c>
      <c r="E38" s="3" t="s">
        <v>480</v>
      </c>
      <c r="F38" s="3">
        <v>2023</v>
      </c>
      <c r="G38" s="3" t="s">
        <v>481</v>
      </c>
      <c r="H38" s="3" t="s">
        <v>482</v>
      </c>
      <c r="I38" s="3" t="s">
        <v>483</v>
      </c>
      <c r="J38" s="3" t="s">
        <v>484</v>
      </c>
      <c r="K38" s="3" t="s">
        <v>485</v>
      </c>
      <c r="L38" s="3" t="s">
        <v>486</v>
      </c>
      <c r="M38" s="3" t="s">
        <v>487</v>
      </c>
      <c r="N38" s="3" t="s">
        <v>488</v>
      </c>
      <c r="O38" s="3" t="s">
        <v>489</v>
      </c>
      <c r="P38" s="3" t="s">
        <v>68</v>
      </c>
    </row>
    <row r="39" ht="128" customHeight="1" spans="1:16">
      <c r="A39" s="5" t="s">
        <v>490</v>
      </c>
      <c r="B39" s="5" t="s">
        <v>491</v>
      </c>
      <c r="C39" s="5" t="s">
        <v>18</v>
      </c>
      <c r="D39" s="5" t="s">
        <v>19</v>
      </c>
      <c r="E39" s="5" t="s">
        <v>492</v>
      </c>
      <c r="F39" s="5">
        <v>2023</v>
      </c>
      <c r="G39" s="5" t="s">
        <v>493</v>
      </c>
      <c r="H39" s="5" t="s">
        <v>494</v>
      </c>
      <c r="I39" s="5" t="s">
        <v>495</v>
      </c>
      <c r="J39" s="5" t="s">
        <v>496</v>
      </c>
      <c r="K39" s="5" t="s">
        <v>497</v>
      </c>
      <c r="L39" s="5" t="s">
        <v>498</v>
      </c>
      <c r="M39" s="5" t="s">
        <v>499</v>
      </c>
      <c r="N39" s="5" t="s">
        <v>500</v>
      </c>
      <c r="O39" s="5" t="s">
        <v>501</v>
      </c>
      <c r="P39" s="5" t="s">
        <v>68</v>
      </c>
    </row>
    <row r="40" ht="128" customHeight="1" spans="1:16">
      <c r="A40" s="5" t="s">
        <v>502</v>
      </c>
      <c r="B40" s="5" t="s">
        <v>503</v>
      </c>
      <c r="C40" s="5" t="s">
        <v>314</v>
      </c>
      <c r="D40" s="5" t="s">
        <v>19</v>
      </c>
      <c r="E40" s="5" t="s">
        <v>504</v>
      </c>
      <c r="F40" s="5">
        <v>2023</v>
      </c>
      <c r="G40" s="5" t="s">
        <v>505</v>
      </c>
      <c r="H40" s="5" t="s">
        <v>506</v>
      </c>
      <c r="I40" s="5" t="s">
        <v>507</v>
      </c>
      <c r="J40" s="5" t="s">
        <v>508</v>
      </c>
      <c r="K40" s="5" t="s">
        <v>509</v>
      </c>
      <c r="L40" s="5" t="s">
        <v>510</v>
      </c>
      <c r="M40" s="5" t="s">
        <v>511</v>
      </c>
      <c r="N40" s="5" t="s">
        <v>512</v>
      </c>
      <c r="O40" s="5" t="s">
        <v>513</v>
      </c>
      <c r="P40" s="5" t="s">
        <v>514</v>
      </c>
    </row>
    <row r="41" ht="128" customHeight="1" spans="1:16">
      <c r="A41" s="5" t="s">
        <v>515</v>
      </c>
      <c r="B41" s="5" t="s">
        <v>516</v>
      </c>
      <c r="C41" s="5" t="s">
        <v>314</v>
      </c>
      <c r="D41" s="5" t="s">
        <v>19</v>
      </c>
      <c r="E41" s="5" t="s">
        <v>517</v>
      </c>
      <c r="F41" s="5">
        <v>2023</v>
      </c>
      <c r="G41" s="5" t="s">
        <v>518</v>
      </c>
      <c r="H41" s="5" t="s">
        <v>519</v>
      </c>
      <c r="I41" s="5" t="s">
        <v>520</v>
      </c>
      <c r="J41" s="5" t="s">
        <v>521</v>
      </c>
      <c r="K41" s="5" t="s">
        <v>522</v>
      </c>
      <c r="L41" s="5" t="s">
        <v>523</v>
      </c>
      <c r="M41" s="5" t="s">
        <v>524</v>
      </c>
      <c r="N41" s="5" t="s">
        <v>525</v>
      </c>
      <c r="O41" s="5" t="s">
        <v>526</v>
      </c>
      <c r="P41" s="5" t="s">
        <v>68</v>
      </c>
    </row>
    <row r="42" ht="128" customHeight="1" spans="1:16">
      <c r="A42" s="5" t="s">
        <v>527</v>
      </c>
      <c r="B42" s="5" t="s">
        <v>528</v>
      </c>
      <c r="C42" s="5" t="s">
        <v>46</v>
      </c>
      <c r="D42" s="5" t="s">
        <v>19</v>
      </c>
      <c r="E42" s="5" t="s">
        <v>529</v>
      </c>
      <c r="F42" s="5">
        <v>2023</v>
      </c>
      <c r="G42" s="5" t="s">
        <v>530</v>
      </c>
      <c r="H42" s="5" t="s">
        <v>531</v>
      </c>
      <c r="I42" s="5" t="s">
        <v>532</v>
      </c>
      <c r="J42" s="5" t="s">
        <v>533</v>
      </c>
      <c r="K42" s="5" t="s">
        <v>534</v>
      </c>
      <c r="L42" s="5" t="s">
        <v>535</v>
      </c>
      <c r="M42" s="5" t="s">
        <v>536</v>
      </c>
      <c r="N42" s="5" t="s">
        <v>537</v>
      </c>
      <c r="O42" s="5" t="s">
        <v>538</v>
      </c>
      <c r="P42" s="5" t="s">
        <v>68</v>
      </c>
    </row>
    <row r="43" ht="128" customHeight="1" spans="1:16">
      <c r="A43" s="5" t="s">
        <v>539</v>
      </c>
      <c r="B43" s="5" t="s">
        <v>540</v>
      </c>
      <c r="C43" s="5" t="s">
        <v>46</v>
      </c>
      <c r="D43" s="5" t="s">
        <v>19</v>
      </c>
      <c r="E43" s="5" t="s">
        <v>541</v>
      </c>
      <c r="F43" s="5">
        <v>2023</v>
      </c>
      <c r="G43" s="5" t="s">
        <v>542</v>
      </c>
      <c r="H43" s="5" t="s">
        <v>543</v>
      </c>
      <c r="I43" s="5" t="s">
        <v>544</v>
      </c>
      <c r="J43" s="5" t="s">
        <v>545</v>
      </c>
      <c r="K43" s="5" t="s">
        <v>546</v>
      </c>
      <c r="L43" s="5" t="s">
        <v>547</v>
      </c>
      <c r="M43" s="5" t="s">
        <v>548</v>
      </c>
      <c r="N43" s="5" t="s">
        <v>549</v>
      </c>
      <c r="O43" s="5" t="s">
        <v>550</v>
      </c>
      <c r="P43" s="5" t="s">
        <v>68</v>
      </c>
    </row>
    <row r="44" ht="128" customHeight="1" spans="1:16">
      <c r="A44" s="5" t="s">
        <v>551</v>
      </c>
      <c r="B44" s="5" t="s">
        <v>552</v>
      </c>
      <c r="C44" s="5" t="s">
        <v>553</v>
      </c>
      <c r="D44" s="5" t="s">
        <v>19</v>
      </c>
      <c r="E44" s="5" t="s">
        <v>554</v>
      </c>
      <c r="F44" s="5">
        <v>2024</v>
      </c>
      <c r="G44" s="5" t="s">
        <v>555</v>
      </c>
      <c r="H44" s="5" t="s">
        <v>556</v>
      </c>
      <c r="I44" s="5" t="s">
        <v>557</v>
      </c>
      <c r="J44" s="5" t="s">
        <v>558</v>
      </c>
      <c r="K44" s="5" t="s">
        <v>559</v>
      </c>
      <c r="L44" s="5" t="s">
        <v>560</v>
      </c>
      <c r="M44" s="5" t="s">
        <v>561</v>
      </c>
      <c r="N44" s="5" t="s">
        <v>562</v>
      </c>
      <c r="O44" s="5" t="s">
        <v>563</v>
      </c>
      <c r="P44" s="5" t="s">
        <v>564</v>
      </c>
    </row>
    <row r="45" ht="128" customHeight="1" spans="1:16">
      <c r="A45" s="5" t="s">
        <v>565</v>
      </c>
      <c r="B45" s="5" t="s">
        <v>566</v>
      </c>
      <c r="C45" s="5" t="s">
        <v>18</v>
      </c>
      <c r="D45" s="5" t="s">
        <v>19</v>
      </c>
      <c r="E45" s="5" t="s">
        <v>567</v>
      </c>
      <c r="F45" s="5">
        <v>2024</v>
      </c>
      <c r="G45" s="5" t="s">
        <v>568</v>
      </c>
      <c r="H45" s="5" t="s">
        <v>569</v>
      </c>
      <c r="I45" s="5" t="s">
        <v>570</v>
      </c>
      <c r="J45" s="5" t="s">
        <v>571</v>
      </c>
      <c r="K45" s="5" t="s">
        <v>572</v>
      </c>
      <c r="L45" s="5" t="s">
        <v>573</v>
      </c>
      <c r="M45" s="5" t="s">
        <v>574</v>
      </c>
      <c r="N45" s="5" t="s">
        <v>575</v>
      </c>
      <c r="O45" s="5" t="s">
        <v>576</v>
      </c>
      <c r="P45" s="5" t="s">
        <v>68</v>
      </c>
    </row>
    <row r="46" ht="128" customHeight="1" spans="1:16">
      <c r="A46" s="5" t="s">
        <v>577</v>
      </c>
      <c r="B46" s="5" t="s">
        <v>578</v>
      </c>
      <c r="C46" s="5" t="s">
        <v>18</v>
      </c>
      <c r="D46" s="5" t="s">
        <v>19</v>
      </c>
      <c r="E46" s="5" t="s">
        <v>579</v>
      </c>
      <c r="F46" s="5">
        <v>2024</v>
      </c>
      <c r="G46" s="5" t="s">
        <v>580</v>
      </c>
      <c r="H46" s="5" t="s">
        <v>581</v>
      </c>
      <c r="I46" s="5" t="s">
        <v>582</v>
      </c>
      <c r="J46" s="5" t="s">
        <v>583</v>
      </c>
      <c r="K46" s="5" t="s">
        <v>584</v>
      </c>
      <c r="L46" s="5" t="s">
        <v>585</v>
      </c>
      <c r="M46" s="5" t="s">
        <v>586</v>
      </c>
      <c r="N46" s="5" t="s">
        <v>587</v>
      </c>
      <c r="O46" s="5" t="s">
        <v>588</v>
      </c>
      <c r="P46" s="5" t="s">
        <v>589</v>
      </c>
    </row>
    <row r="47" ht="128" customHeight="1" spans="1:16">
      <c r="A47" s="3" t="s">
        <v>590</v>
      </c>
      <c r="B47" s="3" t="s">
        <v>591</v>
      </c>
      <c r="C47" s="3" t="s">
        <v>18</v>
      </c>
      <c r="D47" s="3" t="s">
        <v>19</v>
      </c>
      <c r="E47" s="3" t="s">
        <v>592</v>
      </c>
      <c r="F47" s="3">
        <v>2024</v>
      </c>
      <c r="G47" s="3" t="s">
        <v>593</v>
      </c>
      <c r="H47" s="3" t="s">
        <v>594</v>
      </c>
      <c r="I47" s="3" t="s">
        <v>595</v>
      </c>
      <c r="J47" s="3" t="s">
        <v>596</v>
      </c>
      <c r="K47" s="3" t="s">
        <v>597</v>
      </c>
      <c r="L47" s="3" t="s">
        <v>598</v>
      </c>
      <c r="M47" s="3" t="s">
        <v>599</v>
      </c>
      <c r="N47" s="3" t="s">
        <v>600</v>
      </c>
      <c r="O47" s="3" t="s">
        <v>601</v>
      </c>
      <c r="P47" s="3" t="s">
        <v>602</v>
      </c>
    </row>
    <row r="48" ht="128" customHeight="1" spans="1:16">
      <c r="A48" s="3" t="s">
        <v>603</v>
      </c>
      <c r="B48" s="3" t="s">
        <v>604</v>
      </c>
      <c r="C48" s="3" t="s">
        <v>46</v>
      </c>
      <c r="D48" s="3" t="s">
        <v>19</v>
      </c>
      <c r="E48" s="3" t="s">
        <v>605</v>
      </c>
      <c r="F48" s="3">
        <v>2024</v>
      </c>
      <c r="G48" s="3" t="s">
        <v>606</v>
      </c>
      <c r="H48" s="3" t="s">
        <v>607</v>
      </c>
      <c r="I48" s="3" t="s">
        <v>608</v>
      </c>
      <c r="J48" s="3" t="s">
        <v>609</v>
      </c>
      <c r="K48" s="3" t="s">
        <v>610</v>
      </c>
      <c r="L48" s="3" t="s">
        <v>611</v>
      </c>
      <c r="M48" s="3" t="s">
        <v>612</v>
      </c>
      <c r="N48" s="3" t="s">
        <v>613</v>
      </c>
      <c r="O48" s="3" t="s">
        <v>614</v>
      </c>
      <c r="P48" s="3" t="s">
        <v>615</v>
      </c>
    </row>
    <row r="49" ht="128" customHeight="1" spans="1:16">
      <c r="A49" s="3" t="s">
        <v>616</v>
      </c>
      <c r="B49" s="3" t="s">
        <v>617</v>
      </c>
      <c r="C49" s="3" t="s">
        <v>18</v>
      </c>
      <c r="D49" s="3" t="s">
        <v>19</v>
      </c>
      <c r="E49" s="3" t="s">
        <v>618</v>
      </c>
      <c r="F49" s="3">
        <v>2026</v>
      </c>
      <c r="G49" s="3" t="s">
        <v>619</v>
      </c>
      <c r="H49" s="3" t="s">
        <v>620</v>
      </c>
      <c r="I49" s="3" t="s">
        <v>621</v>
      </c>
      <c r="J49" s="3" t="s">
        <v>622</v>
      </c>
      <c r="K49" s="3" t="s">
        <v>623</v>
      </c>
      <c r="L49" s="3" t="s">
        <v>624</v>
      </c>
      <c r="M49" s="3" t="s">
        <v>625</v>
      </c>
      <c r="N49" s="3" t="s">
        <v>626</v>
      </c>
      <c r="O49" s="3" t="s">
        <v>627</v>
      </c>
      <c r="P49" s="3" t="s">
        <v>628</v>
      </c>
    </row>
    <row r="50" ht="128" customHeight="1" spans="1:16">
      <c r="A50" s="3" t="s">
        <v>629</v>
      </c>
      <c r="B50" s="3" t="s">
        <v>630</v>
      </c>
      <c r="C50" s="3" t="s">
        <v>200</v>
      </c>
      <c r="D50" s="3" t="s">
        <v>19</v>
      </c>
      <c r="E50" s="3" t="s">
        <v>631</v>
      </c>
      <c r="F50" s="3">
        <v>2026</v>
      </c>
      <c r="G50" s="3" t="s">
        <v>632</v>
      </c>
      <c r="H50" s="3" t="s">
        <v>633</v>
      </c>
      <c r="I50" s="3" t="s">
        <v>634</v>
      </c>
      <c r="J50" s="3" t="s">
        <v>635</v>
      </c>
      <c r="K50" s="3" t="s">
        <v>636</v>
      </c>
      <c r="L50" s="3" t="s">
        <v>637</v>
      </c>
      <c r="M50" s="3" t="s">
        <v>638</v>
      </c>
      <c r="N50" s="3" t="s">
        <v>639</v>
      </c>
      <c r="O50" s="3" t="s">
        <v>640</v>
      </c>
      <c r="P50" s="3" t="s">
        <v>641</v>
      </c>
    </row>
    <row r="51" ht="128" customHeight="1" spans="1:16">
      <c r="A51" s="5" t="s">
        <v>642</v>
      </c>
      <c r="B51" s="5" t="s">
        <v>643</v>
      </c>
      <c r="C51" s="5" t="s">
        <v>200</v>
      </c>
      <c r="D51" s="5" t="s">
        <v>19</v>
      </c>
      <c r="E51" s="5" t="s">
        <v>644</v>
      </c>
      <c r="F51" s="5">
        <v>2026</v>
      </c>
      <c r="G51" s="5" t="s">
        <v>645</v>
      </c>
      <c r="H51" s="5" t="s">
        <v>646</v>
      </c>
      <c r="I51" s="5" t="s">
        <v>647</v>
      </c>
      <c r="J51" s="5" t="s">
        <v>648</v>
      </c>
      <c r="K51" s="5" t="s">
        <v>649</v>
      </c>
      <c r="L51" s="5" t="s">
        <v>650</v>
      </c>
      <c r="M51" s="5" t="s">
        <v>651</v>
      </c>
      <c r="N51" s="5" t="s">
        <v>652</v>
      </c>
      <c r="O51" s="5" t="s">
        <v>653</v>
      </c>
      <c r="P51" s="5" t="s">
        <v>654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7717A"/>
  </sheetPr>
  <dimension ref="A1:R56"/>
  <sheetViews>
    <sheetView showGridLines="0" tabSelected="1" workbookViewId="0">
      <pane xSplit="2" ySplit="6" topLeftCell="C7" activePane="bottomRight" state="frozen"/>
      <selection/>
      <selection pane="topRight"/>
      <selection pane="bottomLeft"/>
      <selection pane="bottomRight" activeCell="C56" sqref="C56"/>
    </sheetView>
  </sheetViews>
  <sheetFormatPr defaultColWidth="9" defaultRowHeight="16.8"/>
  <cols>
    <col min="1" max="1" width="10" customWidth="1"/>
    <col min="2" max="2" width="18" customWidth="1"/>
    <col min="3" max="3" width="10" customWidth="1"/>
    <col min="4" max="4" width="24" customWidth="1"/>
    <col min="5" max="5" width="26" customWidth="1"/>
    <col min="6" max="6" width="12" customWidth="1"/>
    <col min="7" max="7" width="15" customWidth="1"/>
    <col min="8" max="8" width="16" customWidth="1"/>
    <col min="9" max="9" width="15" customWidth="1"/>
    <col min="10" max="10" width="12" customWidth="1"/>
    <col min="11" max="12" width="14" customWidth="1"/>
    <col min="13" max="13" width="16" customWidth="1"/>
    <col min="14" max="15" width="18" customWidth="1"/>
    <col min="16" max="16" width="16" customWidth="1"/>
    <col min="17" max="17" width="66" customWidth="1"/>
    <col min="18" max="18" width="50" customWidth="1"/>
  </cols>
  <sheetData>
    <row r="1" ht="32" customHeight="1" spans="1:18">
      <c r="A1" s="1" t="s">
        <v>655</v>
      </c>
      <c r="B1" s="1"/>
      <c r="C1" s="1"/>
      <c r="D1" s="1"/>
      <c r="E1" s="1"/>
      <c r="F1" s="1"/>
      <c r="G1" s="1"/>
      <c r="H1" s="1"/>
      <c r="I1" s="1"/>
      <c r="J1" s="1"/>
      <c r="K1" s="1"/>
      <c r="L1" s="1"/>
      <c r="M1" s="1"/>
      <c r="N1" s="1"/>
      <c r="O1" s="1"/>
      <c r="P1" s="1"/>
      <c r="Q1" s="1"/>
      <c r="R1" s="1"/>
    </row>
    <row r="2" ht="32" customHeight="1" spans="1:18">
      <c r="A2" s="7" t="s">
        <v>656</v>
      </c>
      <c r="B2" s="7">
        <v>500</v>
      </c>
      <c r="C2" s="7" t="s">
        <v>657</v>
      </c>
      <c r="D2" s="1" t="s">
        <v>658</v>
      </c>
      <c r="E2" s="1"/>
      <c r="F2" s="1"/>
      <c r="G2" s="1"/>
      <c r="H2" s="1"/>
      <c r="I2" s="1"/>
      <c r="J2" s="1"/>
      <c r="K2" s="1"/>
      <c r="L2" s="1"/>
      <c r="M2" s="1"/>
      <c r="N2" s="1"/>
      <c r="O2" s="1"/>
      <c r="P2" s="1"/>
      <c r="Q2" s="1"/>
      <c r="R2" s="1"/>
    </row>
    <row r="6" ht="36" customHeight="1" spans="1:18">
      <c r="A6" s="2" t="s">
        <v>659</v>
      </c>
      <c r="B6" s="2" t="s">
        <v>660</v>
      </c>
      <c r="C6" s="2" t="s">
        <v>661</v>
      </c>
      <c r="D6" s="2" t="s">
        <v>662</v>
      </c>
      <c r="E6" s="2" t="s">
        <v>663</v>
      </c>
      <c r="F6" s="2" t="s">
        <v>664</v>
      </c>
      <c r="G6" s="2" t="s">
        <v>665</v>
      </c>
      <c r="H6" s="2" t="s">
        <v>666</v>
      </c>
      <c r="I6" s="2" t="s">
        <v>667</v>
      </c>
      <c r="J6" s="2" t="s">
        <v>668</v>
      </c>
      <c r="K6" s="2" t="s">
        <v>669</v>
      </c>
      <c r="L6" s="2" t="s">
        <v>670</v>
      </c>
      <c r="M6" s="2" t="s">
        <v>671</v>
      </c>
      <c r="N6" s="2" t="s">
        <v>672</v>
      </c>
      <c r="O6" s="2" t="s">
        <v>673</v>
      </c>
      <c r="P6" s="2" t="s">
        <v>674</v>
      </c>
      <c r="Q6" s="2" t="s">
        <v>675</v>
      </c>
      <c r="R6" s="2" t="s">
        <v>676</v>
      </c>
    </row>
    <row r="7" ht="105" customHeight="1" spans="1:18">
      <c r="A7" s="3" t="s">
        <v>677</v>
      </c>
      <c r="B7" s="3" t="s">
        <v>16</v>
      </c>
      <c r="C7" s="3">
        <v>2013</v>
      </c>
      <c r="D7" s="3" t="s">
        <v>678</v>
      </c>
      <c r="E7" s="3" t="s">
        <v>679</v>
      </c>
      <c r="F7" s="3" t="s">
        <v>680</v>
      </c>
      <c r="G7" s="4">
        <v>1</v>
      </c>
      <c r="H7" s="4">
        <v>272.00714278</v>
      </c>
      <c r="I7" s="4"/>
      <c r="J7" s="8">
        <v>1</v>
      </c>
      <c r="K7" s="4">
        <f>IF(ISNUMBER(I7),I7,IF(AND(ISNUMBER(G7),ISNUMBER(H7)),H7/G7,NA()))*J7</f>
        <v>272.00714278</v>
      </c>
      <c r="L7" s="8">
        <f>K7-1</f>
        <v>271.00714278</v>
      </c>
      <c r="M7" s="4">
        <f>$B$2</f>
        <v>500</v>
      </c>
      <c r="N7" s="4">
        <f>M7*K7</f>
        <v>136003.57139</v>
      </c>
      <c r="O7" s="4">
        <f>N7-M7</f>
        <v>135503.57139</v>
      </c>
      <c r="P7" s="3" t="s">
        <v>681</v>
      </c>
      <c r="Q7" s="3" t="s">
        <v>682</v>
      </c>
      <c r="R7" s="3" t="s">
        <v>683</v>
      </c>
    </row>
    <row r="8" ht="105" customHeight="1" spans="1:18">
      <c r="A8" s="3" t="s">
        <v>684</v>
      </c>
      <c r="B8" s="9" t="s">
        <v>44</v>
      </c>
      <c r="C8" s="3">
        <v>2013</v>
      </c>
      <c r="D8" s="3" t="s">
        <v>685</v>
      </c>
      <c r="E8" s="3" t="s">
        <v>686</v>
      </c>
      <c r="F8" s="3" t="s">
        <v>680</v>
      </c>
      <c r="G8" s="4">
        <v>1</v>
      </c>
      <c r="H8" s="4">
        <v>69</v>
      </c>
      <c r="I8" s="4"/>
      <c r="J8" s="8">
        <v>1</v>
      </c>
      <c r="K8" s="4">
        <f>IF(ISNUMBER(I8),I8,IF(AND(ISNUMBER(G8),ISNUMBER(H8)),H8/G8,NA()))*J8</f>
        <v>69</v>
      </c>
      <c r="L8" s="8">
        <f>K8-1</f>
        <v>68</v>
      </c>
      <c r="M8" s="4">
        <f>$B$2</f>
        <v>500</v>
      </c>
      <c r="N8" s="4">
        <f>M8*K8</f>
        <v>34500</v>
      </c>
      <c r="O8" s="4">
        <f>N8-M8</f>
        <v>34000</v>
      </c>
      <c r="P8" s="3" t="s">
        <v>687</v>
      </c>
      <c r="Q8" s="3" t="s">
        <v>688</v>
      </c>
      <c r="R8" s="3" t="s">
        <v>689</v>
      </c>
    </row>
    <row r="9" ht="105" customHeight="1" spans="1:18">
      <c r="A9" s="3" t="s">
        <v>690</v>
      </c>
      <c r="B9" s="3" t="s">
        <v>31</v>
      </c>
      <c r="C9" s="3">
        <v>2013</v>
      </c>
      <c r="D9" s="3" t="s">
        <v>691</v>
      </c>
      <c r="E9" s="3" t="s">
        <v>692</v>
      </c>
      <c r="F9" s="3" t="s">
        <v>693</v>
      </c>
      <c r="G9" s="4">
        <v>15</v>
      </c>
      <c r="H9" s="4">
        <v>160</v>
      </c>
      <c r="I9" s="4"/>
      <c r="J9" s="8">
        <v>1</v>
      </c>
      <c r="K9" s="4">
        <f>IF(ISNUMBER(I9),I9,IF(AND(ISNUMBER(G9),ISNUMBER(H9)),H9/G9,NA()))*J9</f>
        <v>10.6666666666667</v>
      </c>
      <c r="L9" s="8">
        <f>K9-1</f>
        <v>9.66666666666667</v>
      </c>
      <c r="M9" s="4">
        <f>$B$2</f>
        <v>500</v>
      </c>
      <c r="N9" s="4">
        <f>M9*K9</f>
        <v>5333.33333333333</v>
      </c>
      <c r="O9" s="4">
        <f>N9-M9</f>
        <v>4833.33333333333</v>
      </c>
      <c r="P9" s="3" t="s">
        <v>694</v>
      </c>
      <c r="Q9" s="3" t="s">
        <v>695</v>
      </c>
      <c r="R9" s="3" t="s">
        <v>696</v>
      </c>
    </row>
    <row r="10" ht="105" customHeight="1" spans="1:18">
      <c r="A10" s="5" t="s">
        <v>697</v>
      </c>
      <c r="B10" s="5" t="s">
        <v>56</v>
      </c>
      <c r="C10" s="5">
        <v>2014</v>
      </c>
      <c r="D10" s="5" t="s">
        <v>698</v>
      </c>
      <c r="E10" s="5" t="s">
        <v>692</v>
      </c>
      <c r="F10" s="5" t="s">
        <v>680</v>
      </c>
      <c r="G10" s="6">
        <v>2.5</v>
      </c>
      <c r="H10" s="10">
        <v>90</v>
      </c>
      <c r="I10" s="6"/>
      <c r="J10" s="11">
        <v>1</v>
      </c>
      <c r="K10" s="6">
        <f>IF(ISNUMBER(I10),I10,IF(AND(ISNUMBER(G10),ISNUMBER(H10)),H10/G10,NA()))*J10</f>
        <v>36</v>
      </c>
      <c r="L10" s="11">
        <f>K10-1</f>
        <v>35</v>
      </c>
      <c r="M10" s="6">
        <f>$B$2</f>
        <v>500</v>
      </c>
      <c r="N10" s="6">
        <f>M10*K10</f>
        <v>18000</v>
      </c>
      <c r="O10" s="6">
        <f>N10-M10</f>
        <v>17500</v>
      </c>
      <c r="P10" s="5" t="s">
        <v>699</v>
      </c>
      <c r="Q10" s="5" t="s">
        <v>700</v>
      </c>
      <c r="R10" s="5" t="s">
        <v>701</v>
      </c>
    </row>
    <row r="11" ht="105" customHeight="1" spans="1:18">
      <c r="A11" s="3" t="s">
        <v>702</v>
      </c>
      <c r="B11" s="9" t="s">
        <v>69</v>
      </c>
      <c r="C11" s="3">
        <v>2015</v>
      </c>
      <c r="D11" s="3" t="s">
        <v>698</v>
      </c>
      <c r="E11" s="3" t="s">
        <v>692</v>
      </c>
      <c r="F11" s="3" t="s">
        <v>680</v>
      </c>
      <c r="G11" s="4">
        <v>1</v>
      </c>
      <c r="H11" s="4">
        <v>111.35738</v>
      </c>
      <c r="I11" s="4"/>
      <c r="J11" s="8">
        <v>1</v>
      </c>
      <c r="K11" s="4">
        <f>IF(ISNUMBER(I11),I11,IF(AND(ISNUMBER(G11),ISNUMBER(H11)),H11/G11,NA()))*J11</f>
        <v>111.35738</v>
      </c>
      <c r="L11" s="8">
        <f>K11-1</f>
        <v>110.35738</v>
      </c>
      <c r="M11" s="4">
        <f>$B$2</f>
        <v>500</v>
      </c>
      <c r="N11" s="4">
        <f>M11*K11</f>
        <v>55678.69</v>
      </c>
      <c r="O11" s="4">
        <f>N11-M11</f>
        <v>55178.69</v>
      </c>
      <c r="P11" s="3" t="s">
        <v>699</v>
      </c>
      <c r="Q11" s="3" t="s">
        <v>703</v>
      </c>
      <c r="R11" s="3" t="s">
        <v>704</v>
      </c>
    </row>
    <row r="12" ht="105" customHeight="1" spans="1:18">
      <c r="A12" s="5" t="s">
        <v>705</v>
      </c>
      <c r="B12" s="5" t="s">
        <v>81</v>
      </c>
      <c r="C12" s="5">
        <v>2015</v>
      </c>
      <c r="D12" s="5" t="s">
        <v>706</v>
      </c>
      <c r="E12" s="5" t="s">
        <v>707</v>
      </c>
      <c r="F12" s="5" t="s">
        <v>680</v>
      </c>
      <c r="G12" s="6">
        <v>1.5</v>
      </c>
      <c r="H12" s="6">
        <v>62.136442</v>
      </c>
      <c r="I12" s="6"/>
      <c r="J12" s="11">
        <v>1</v>
      </c>
      <c r="K12" s="6">
        <f>IF(ISNUMBER(I12),I12,IF(AND(ISNUMBER(G12),ISNUMBER(H12)),H12/G12,NA()))*J12</f>
        <v>41.4242946666667</v>
      </c>
      <c r="L12" s="11">
        <f>K12-1</f>
        <v>40.4242946666667</v>
      </c>
      <c r="M12" s="6">
        <f>$B$2</f>
        <v>500</v>
      </c>
      <c r="N12" s="6">
        <f>M12*K12</f>
        <v>20712.1473333333</v>
      </c>
      <c r="O12" s="6">
        <f>N12-M12</f>
        <v>20212.1473333333</v>
      </c>
      <c r="P12" s="5" t="s">
        <v>699</v>
      </c>
      <c r="Q12" s="5" t="s">
        <v>708</v>
      </c>
      <c r="R12" s="5" t="s">
        <v>709</v>
      </c>
    </row>
    <row r="13" ht="105" customHeight="1" spans="1:18">
      <c r="A13" s="5" t="s">
        <v>710</v>
      </c>
      <c r="B13" s="12" t="s">
        <v>148</v>
      </c>
      <c r="C13" s="5">
        <v>2015</v>
      </c>
      <c r="D13" s="5" t="s">
        <v>711</v>
      </c>
      <c r="E13" s="5" t="s">
        <v>686</v>
      </c>
      <c r="F13" s="5" t="s">
        <v>680</v>
      </c>
      <c r="G13" s="6">
        <v>1</v>
      </c>
      <c r="H13" s="6">
        <v>40</v>
      </c>
      <c r="I13" s="6"/>
      <c r="J13" s="11">
        <v>1</v>
      </c>
      <c r="K13" s="6">
        <f>IF(ISNUMBER(I13),I13,IF(AND(ISNUMBER(G13),ISNUMBER(H13)),H13/G13,NA()))*J13</f>
        <v>40</v>
      </c>
      <c r="L13" s="11">
        <f>K13-1</f>
        <v>39</v>
      </c>
      <c r="M13" s="6">
        <f>$B$2</f>
        <v>500</v>
      </c>
      <c r="N13" s="6">
        <f>M13*K13</f>
        <v>20000</v>
      </c>
      <c r="O13" s="6">
        <f>N13-M13</f>
        <v>19500</v>
      </c>
      <c r="P13" s="5" t="s">
        <v>687</v>
      </c>
      <c r="Q13" s="5" t="s">
        <v>712</v>
      </c>
      <c r="R13" s="5" t="s">
        <v>713</v>
      </c>
    </row>
    <row r="14" ht="105" customHeight="1" spans="1:18">
      <c r="A14" s="5" t="s">
        <v>714</v>
      </c>
      <c r="B14" s="5" t="s">
        <v>120</v>
      </c>
      <c r="C14" s="5">
        <v>2015</v>
      </c>
      <c r="D14" s="5" t="s">
        <v>715</v>
      </c>
      <c r="E14" s="5" t="s">
        <v>716</v>
      </c>
      <c r="F14" s="5" t="s">
        <v>680</v>
      </c>
      <c r="G14" s="6">
        <v>33.2592</v>
      </c>
      <c r="H14" s="6">
        <v>518.49</v>
      </c>
      <c r="I14" s="6"/>
      <c r="J14" s="11">
        <v>1</v>
      </c>
      <c r="K14" s="6">
        <f>IF(ISNUMBER(I14),I14,IF(AND(ISNUMBER(G14),ISNUMBER(H14)),H14/G14,NA()))*J14</f>
        <v>15.5893707605715</v>
      </c>
      <c r="L14" s="11">
        <f>K14-1</f>
        <v>14.5893707605715</v>
      </c>
      <c r="M14" s="6">
        <f>$B$2</f>
        <v>500</v>
      </c>
      <c r="N14" s="6">
        <f>M14*K14</f>
        <v>7794.68538028576</v>
      </c>
      <c r="O14" s="6">
        <f>N14-M14</f>
        <v>7294.68538028576</v>
      </c>
      <c r="P14" s="5" t="s">
        <v>699</v>
      </c>
      <c r="Q14" s="5" t="s">
        <v>717</v>
      </c>
      <c r="R14" s="5" t="s">
        <v>718</v>
      </c>
    </row>
    <row r="15" ht="105" customHeight="1" spans="1:18">
      <c r="A15" s="3" t="s">
        <v>719</v>
      </c>
      <c r="B15" s="3" t="s">
        <v>629</v>
      </c>
      <c r="C15" s="3">
        <v>2015</v>
      </c>
      <c r="D15" s="3" t="s">
        <v>720</v>
      </c>
      <c r="E15" s="3" t="s">
        <v>721</v>
      </c>
      <c r="F15" s="3" t="s">
        <v>680</v>
      </c>
      <c r="G15" s="4">
        <v>66</v>
      </c>
      <c r="H15" s="4">
        <v>290.1402496496</v>
      </c>
      <c r="I15" s="4"/>
      <c r="J15" s="8">
        <v>1</v>
      </c>
      <c r="K15" s="4">
        <f>IF(ISNUMBER(I15),I15,IF(AND(ISNUMBER(G15),ISNUMBER(H15)),H15/G15,NA()))*J15</f>
        <v>4.3960643886303</v>
      </c>
      <c r="L15" s="8">
        <f>K15-1</f>
        <v>3.3960643886303</v>
      </c>
      <c r="M15" s="4">
        <f>$B$2</f>
        <v>500</v>
      </c>
      <c r="N15" s="4">
        <f>M15*K15</f>
        <v>2198.03219431515</v>
      </c>
      <c r="O15" s="4">
        <f>N15-M15</f>
        <v>1698.03219431515</v>
      </c>
      <c r="P15" s="3" t="s">
        <v>699</v>
      </c>
      <c r="Q15" s="3" t="s">
        <v>722</v>
      </c>
      <c r="R15" s="3" t="s">
        <v>723</v>
      </c>
    </row>
    <row r="16" ht="105" customHeight="1" spans="1:18">
      <c r="A16" s="5" t="s">
        <v>724</v>
      </c>
      <c r="B16" s="5" t="s">
        <v>107</v>
      </c>
      <c r="C16" s="5">
        <v>2015</v>
      </c>
      <c r="D16" s="5" t="s">
        <v>725</v>
      </c>
      <c r="E16" s="5" t="s">
        <v>726</v>
      </c>
      <c r="F16" s="5" t="s">
        <v>680</v>
      </c>
      <c r="G16" s="6"/>
      <c r="H16" s="6"/>
      <c r="I16" s="6">
        <v>0.1</v>
      </c>
      <c r="J16" s="11">
        <v>1</v>
      </c>
      <c r="K16" s="6">
        <f>IF(ISNUMBER(I16),I16,IF(AND(ISNUMBER(G16),ISNUMBER(H16)),H16/G16,NA()))*J16</f>
        <v>0.1</v>
      </c>
      <c r="L16" s="11">
        <f>K16-1</f>
        <v>-0.9</v>
      </c>
      <c r="M16" s="6">
        <f>$B$2</f>
        <v>500</v>
      </c>
      <c r="N16" s="6">
        <f>M16*K16</f>
        <v>50</v>
      </c>
      <c r="O16" s="6">
        <f>N16-M16</f>
        <v>-450</v>
      </c>
      <c r="P16" s="5" t="s">
        <v>699</v>
      </c>
      <c r="Q16" s="5" t="s">
        <v>727</v>
      </c>
      <c r="R16" s="5" t="s">
        <v>728</v>
      </c>
    </row>
    <row r="17" ht="105" customHeight="1" spans="1:18">
      <c r="A17" s="3" t="s">
        <v>729</v>
      </c>
      <c r="B17" s="3" t="s">
        <v>160</v>
      </c>
      <c r="C17" s="3">
        <v>2016</v>
      </c>
      <c r="D17" s="3" t="s">
        <v>730</v>
      </c>
      <c r="E17" s="3" t="s">
        <v>731</v>
      </c>
      <c r="F17" s="3" t="s">
        <v>680</v>
      </c>
      <c r="G17" s="4"/>
      <c r="H17" s="4"/>
      <c r="I17" s="4">
        <v>1035</v>
      </c>
      <c r="J17" s="8">
        <v>1</v>
      </c>
      <c r="K17" s="4">
        <f>IF(ISNUMBER(I17),I17,IF(AND(ISNUMBER(G17),ISNUMBER(H17)),H17/G17,NA()))*J17</f>
        <v>1035</v>
      </c>
      <c r="L17" s="8">
        <f>K17-1</f>
        <v>1034</v>
      </c>
      <c r="M17" s="4">
        <f>$B$2</f>
        <v>500</v>
      </c>
      <c r="N17" s="4">
        <f>M17*K17</f>
        <v>517500</v>
      </c>
      <c r="O17" s="4">
        <f>N17-M17</f>
        <v>517000</v>
      </c>
      <c r="P17" s="3" t="s">
        <v>687</v>
      </c>
      <c r="Q17" s="3" t="s">
        <v>732</v>
      </c>
      <c r="R17" s="3" t="s">
        <v>733</v>
      </c>
    </row>
    <row r="18" ht="105" customHeight="1" spans="1:18">
      <c r="A18" s="3" t="s">
        <v>734</v>
      </c>
      <c r="B18" s="9" t="s">
        <v>250</v>
      </c>
      <c r="C18" s="3">
        <v>2016</v>
      </c>
      <c r="D18" s="3" t="s">
        <v>698</v>
      </c>
      <c r="E18" s="3" t="s">
        <v>735</v>
      </c>
      <c r="F18" s="3" t="s">
        <v>680</v>
      </c>
      <c r="G18" s="4">
        <v>2</v>
      </c>
      <c r="H18" s="4">
        <v>207</v>
      </c>
      <c r="I18" s="4"/>
      <c r="J18" s="8">
        <v>1</v>
      </c>
      <c r="K18" s="4">
        <f>IF(ISNUMBER(I18),I18,IF(AND(ISNUMBER(G18),ISNUMBER(H18)),H18/G18,NA()))*J18</f>
        <v>103.5</v>
      </c>
      <c r="L18" s="8">
        <f>K18-1</f>
        <v>102.5</v>
      </c>
      <c r="M18" s="4">
        <f>$B$2</f>
        <v>500</v>
      </c>
      <c r="N18" s="4">
        <f>M18*K18</f>
        <v>51750</v>
      </c>
      <c r="O18" s="4">
        <f>N18-M18</f>
        <v>51250</v>
      </c>
      <c r="P18" s="3" t="s">
        <v>699</v>
      </c>
      <c r="Q18" s="3" t="s">
        <v>736</v>
      </c>
      <c r="R18" s="3" t="s">
        <v>737</v>
      </c>
    </row>
    <row r="19" ht="105" customHeight="1" spans="1:18">
      <c r="A19" s="3" t="s">
        <v>738</v>
      </c>
      <c r="B19" s="9" t="s">
        <v>198</v>
      </c>
      <c r="C19" s="3">
        <v>2016</v>
      </c>
      <c r="D19" s="3" t="s">
        <v>739</v>
      </c>
      <c r="E19" s="3" t="s">
        <v>740</v>
      </c>
      <c r="F19" s="3" t="s">
        <v>680</v>
      </c>
      <c r="G19" s="4">
        <v>1</v>
      </c>
      <c r="H19" s="4">
        <v>100</v>
      </c>
      <c r="I19" s="4"/>
      <c r="J19" s="8">
        <v>1</v>
      </c>
      <c r="K19" s="4">
        <f>IF(ISNUMBER(I19),I19,IF(AND(ISNUMBER(G19),ISNUMBER(H19)),H19/G19,NA()))*J19</f>
        <v>100</v>
      </c>
      <c r="L19" s="8">
        <f>K19-1</f>
        <v>99</v>
      </c>
      <c r="M19" s="4">
        <f>$B$2</f>
        <v>500</v>
      </c>
      <c r="N19" s="4">
        <f>M19*K19</f>
        <v>50000</v>
      </c>
      <c r="O19" s="4">
        <f>N19-M19</f>
        <v>49500</v>
      </c>
      <c r="P19" s="3" t="s">
        <v>687</v>
      </c>
      <c r="Q19" s="3" t="s">
        <v>741</v>
      </c>
      <c r="R19" s="3" t="s">
        <v>742</v>
      </c>
    </row>
    <row r="20" ht="105" customHeight="1" spans="1:18">
      <c r="A20" s="5" t="s">
        <v>743</v>
      </c>
      <c r="B20" s="5" t="s">
        <v>186</v>
      </c>
      <c r="C20" s="5">
        <v>2016</v>
      </c>
      <c r="D20" s="5" t="s">
        <v>698</v>
      </c>
      <c r="E20" s="5" t="s">
        <v>692</v>
      </c>
      <c r="F20" s="5" t="s">
        <v>680</v>
      </c>
      <c r="G20" s="6">
        <v>3</v>
      </c>
      <c r="H20" s="6">
        <v>100</v>
      </c>
      <c r="I20" s="6"/>
      <c r="J20" s="11">
        <v>1</v>
      </c>
      <c r="K20" s="6">
        <f>IF(ISNUMBER(I20),I20,IF(AND(ISNUMBER(G20),ISNUMBER(H20)),H20/G20,NA()))*J20</f>
        <v>33.3333333333333</v>
      </c>
      <c r="L20" s="11">
        <f>K20-1</f>
        <v>32.3333333333333</v>
      </c>
      <c r="M20" s="6">
        <f>$B$2</f>
        <v>500</v>
      </c>
      <c r="N20" s="6">
        <f>M20*K20</f>
        <v>16666.6666666667</v>
      </c>
      <c r="O20" s="6">
        <f>N20-M20</f>
        <v>16166.6666666667</v>
      </c>
      <c r="P20" s="5" t="s">
        <v>744</v>
      </c>
      <c r="Q20" s="5" t="s">
        <v>745</v>
      </c>
      <c r="R20" s="5" t="s">
        <v>746</v>
      </c>
    </row>
    <row r="21" ht="105" customHeight="1" spans="1:18">
      <c r="A21" s="3" t="s">
        <v>747</v>
      </c>
      <c r="B21" s="3" t="s">
        <v>173</v>
      </c>
      <c r="C21" s="3">
        <v>2016</v>
      </c>
      <c r="D21" s="3" t="s">
        <v>748</v>
      </c>
      <c r="E21" s="3" t="s">
        <v>707</v>
      </c>
      <c r="F21" s="3" t="s">
        <v>680</v>
      </c>
      <c r="G21" s="4">
        <v>2.1</v>
      </c>
      <c r="H21" s="4">
        <v>65.753668</v>
      </c>
      <c r="I21" s="4"/>
      <c r="J21" s="8">
        <v>1</v>
      </c>
      <c r="K21" s="4">
        <f>IF(ISNUMBER(I21),I21,IF(AND(ISNUMBER(G21),ISNUMBER(H21)),H21/G21,NA()))*J21</f>
        <v>31.3112704761905</v>
      </c>
      <c r="L21" s="8">
        <f>K21-1</f>
        <v>30.3112704761905</v>
      </c>
      <c r="M21" s="4">
        <f>$B$2</f>
        <v>500</v>
      </c>
      <c r="N21" s="4">
        <f>M21*K21</f>
        <v>15655.6352380952</v>
      </c>
      <c r="O21" s="4">
        <f>N21-M21</f>
        <v>15155.6352380952</v>
      </c>
      <c r="P21" s="3" t="s">
        <v>699</v>
      </c>
      <c r="Q21" s="3" t="s">
        <v>749</v>
      </c>
      <c r="R21" s="3" t="s">
        <v>750</v>
      </c>
    </row>
    <row r="22" ht="105" customHeight="1" spans="1:18">
      <c r="A22" s="5" t="s">
        <v>751</v>
      </c>
      <c r="B22" s="5" t="s">
        <v>224</v>
      </c>
      <c r="C22" s="5">
        <v>2016</v>
      </c>
      <c r="D22" s="5" t="s">
        <v>752</v>
      </c>
      <c r="E22" s="5" t="s">
        <v>753</v>
      </c>
      <c r="F22" s="5" t="s">
        <v>680</v>
      </c>
      <c r="G22" s="6">
        <v>15</v>
      </c>
      <c r="H22" s="6">
        <v>428.9924925</v>
      </c>
      <c r="I22" s="6"/>
      <c r="J22" s="11">
        <v>1</v>
      </c>
      <c r="K22" s="6">
        <f>IF(ISNUMBER(I22),I22,IF(AND(ISNUMBER(G22),ISNUMBER(H22)),H22/G22,NA()))*J22</f>
        <v>28.5994995</v>
      </c>
      <c r="L22" s="11">
        <f>K22-1</f>
        <v>27.5994995</v>
      </c>
      <c r="M22" s="6">
        <f>$B$2</f>
        <v>500</v>
      </c>
      <c r="N22" s="6">
        <f>M22*K22</f>
        <v>14299.74975</v>
      </c>
      <c r="O22" s="6">
        <f>N22-M22</f>
        <v>13799.74975</v>
      </c>
      <c r="P22" s="5" t="s">
        <v>699</v>
      </c>
      <c r="Q22" s="5" t="s">
        <v>754</v>
      </c>
      <c r="R22" s="5" t="s">
        <v>755</v>
      </c>
    </row>
    <row r="23" ht="105" customHeight="1" spans="1:18">
      <c r="A23" s="3" t="s">
        <v>756</v>
      </c>
      <c r="B23" s="9" t="s">
        <v>212</v>
      </c>
      <c r="C23" s="3">
        <v>2016</v>
      </c>
      <c r="D23" s="3" t="s">
        <v>757</v>
      </c>
      <c r="E23" s="3" t="s">
        <v>758</v>
      </c>
      <c r="F23" s="5" t="s">
        <v>680</v>
      </c>
      <c r="G23" s="4">
        <v>5.5</v>
      </c>
      <c r="H23" s="4">
        <v>146</v>
      </c>
      <c r="I23" s="4"/>
      <c r="J23" s="8">
        <v>1</v>
      </c>
      <c r="K23" s="4">
        <f>IF(ISNUMBER(I23),I23,IF(AND(ISNUMBER(G23),ISNUMBER(H23)),H23/G23,NA()))*J23</f>
        <v>26.5454545454545</v>
      </c>
      <c r="L23" s="8">
        <f>K23-1</f>
        <v>25.5454545454545</v>
      </c>
      <c r="M23" s="4">
        <f>$B$2</f>
        <v>500</v>
      </c>
      <c r="N23" s="4">
        <f>M23*K23</f>
        <v>13272.7272727273</v>
      </c>
      <c r="O23" s="4">
        <f>N23-M23</f>
        <v>12772.7272727273</v>
      </c>
      <c r="P23" s="3" t="s">
        <v>759</v>
      </c>
      <c r="Q23" s="3" t="s">
        <v>760</v>
      </c>
      <c r="R23" s="3" t="s">
        <v>761</v>
      </c>
    </row>
    <row r="24" ht="105" customHeight="1" spans="1:18">
      <c r="A24" s="3" t="s">
        <v>762</v>
      </c>
      <c r="B24" s="3" t="s">
        <v>94</v>
      </c>
      <c r="C24" s="3">
        <v>2016</v>
      </c>
      <c r="D24" s="3" t="s">
        <v>763</v>
      </c>
      <c r="E24" s="3" t="s">
        <v>764</v>
      </c>
      <c r="F24" s="3" t="s">
        <v>680</v>
      </c>
      <c r="G24" s="4">
        <v>14.82</v>
      </c>
      <c r="H24" s="4">
        <v>267.614377</v>
      </c>
      <c r="I24" s="4"/>
      <c r="J24" s="8">
        <v>1</v>
      </c>
      <c r="K24" s="4">
        <f>IF(ISNUMBER(I24),I24,IF(AND(ISNUMBER(G24),ISNUMBER(H24)),H24/G24,NA()))*J24</f>
        <v>18.0576502699055</v>
      </c>
      <c r="L24" s="8">
        <f>K24-1</f>
        <v>17.0576502699055</v>
      </c>
      <c r="M24" s="4">
        <f>$B$2</f>
        <v>500</v>
      </c>
      <c r="N24" s="4">
        <f>M24*K24</f>
        <v>9028.82513495277</v>
      </c>
      <c r="O24" s="4">
        <f>N24-M24</f>
        <v>8528.82513495277</v>
      </c>
      <c r="P24" s="3" t="s">
        <v>699</v>
      </c>
      <c r="Q24" s="3" t="s">
        <v>765</v>
      </c>
      <c r="R24" s="3" t="s">
        <v>766</v>
      </c>
    </row>
    <row r="25" ht="105" customHeight="1" spans="1:18">
      <c r="A25" s="5" t="s">
        <v>767</v>
      </c>
      <c r="B25" s="12" t="s">
        <v>263</v>
      </c>
      <c r="C25" s="5">
        <v>2017</v>
      </c>
      <c r="D25" s="5" t="s">
        <v>768</v>
      </c>
      <c r="E25" s="5" t="s">
        <v>769</v>
      </c>
      <c r="F25" s="5" t="s">
        <v>680</v>
      </c>
      <c r="G25" s="6">
        <v>66.3</v>
      </c>
      <c r="H25" s="6">
        <v>5641.89</v>
      </c>
      <c r="I25" s="6"/>
      <c r="J25" s="11">
        <v>1</v>
      </c>
      <c r="K25" s="6">
        <f>IF(ISNUMBER(I25),I25,IF(AND(ISNUMBER(G25),ISNUMBER(H25)),H25/G25,NA()))*J25</f>
        <v>85.0963800904977</v>
      </c>
      <c r="L25" s="11">
        <f>K25-1</f>
        <v>84.0963800904977</v>
      </c>
      <c r="M25" s="6">
        <f>$B$2</f>
        <v>500</v>
      </c>
      <c r="N25" s="6">
        <f>M25*K25</f>
        <v>42548.1900452489</v>
      </c>
      <c r="O25" s="6">
        <f>N25-M25</f>
        <v>42048.1900452489</v>
      </c>
      <c r="P25" s="5" t="s">
        <v>699</v>
      </c>
      <c r="Q25" s="5" t="s">
        <v>770</v>
      </c>
      <c r="R25" s="5" t="s">
        <v>771</v>
      </c>
    </row>
    <row r="26" ht="105" customHeight="1" spans="1:18">
      <c r="A26" s="3" t="s">
        <v>772</v>
      </c>
      <c r="B26" s="9" t="s">
        <v>276</v>
      </c>
      <c r="C26" s="3">
        <v>2017</v>
      </c>
      <c r="D26" s="3" t="s">
        <v>773</v>
      </c>
      <c r="E26" s="3" t="s">
        <v>774</v>
      </c>
      <c r="F26" s="3" t="s">
        <v>680</v>
      </c>
      <c r="G26" s="4">
        <v>1</v>
      </c>
      <c r="H26" s="4">
        <v>40</v>
      </c>
      <c r="I26" s="4"/>
      <c r="J26" s="8">
        <v>1</v>
      </c>
      <c r="K26" s="4">
        <f>IF(ISNUMBER(I26),I26,IF(AND(ISNUMBER(G26),ISNUMBER(H26)),H26/G26,NA()))*J26</f>
        <v>40</v>
      </c>
      <c r="L26" s="8">
        <f>K26-1</f>
        <v>39</v>
      </c>
      <c r="M26" s="4">
        <f>$B$2</f>
        <v>500</v>
      </c>
      <c r="N26" s="4">
        <f>M26*K26</f>
        <v>20000</v>
      </c>
      <c r="O26" s="4">
        <f>N26-M26</f>
        <v>19500</v>
      </c>
      <c r="P26" s="3" t="s">
        <v>687</v>
      </c>
      <c r="Q26" s="3" t="s">
        <v>775</v>
      </c>
      <c r="R26" s="3" t="s">
        <v>776</v>
      </c>
    </row>
    <row r="27" ht="105" customHeight="1" spans="1:18">
      <c r="A27" s="5" t="s">
        <v>777</v>
      </c>
      <c r="B27" s="12" t="s">
        <v>300</v>
      </c>
      <c r="C27" s="5">
        <v>2018</v>
      </c>
      <c r="D27" s="5" t="s">
        <v>778</v>
      </c>
      <c r="E27" s="5" t="s">
        <v>779</v>
      </c>
      <c r="F27" s="5" t="s">
        <v>680</v>
      </c>
      <c r="G27" s="6">
        <v>2</v>
      </c>
      <c r="H27" s="6">
        <v>110</v>
      </c>
      <c r="I27" s="6"/>
      <c r="J27" s="11">
        <v>1</v>
      </c>
      <c r="K27" s="6">
        <f>IF(ISNUMBER(I27),I27,IF(AND(ISNUMBER(G27),ISNUMBER(H27)),H27/G27,NA()))*J27</f>
        <v>55</v>
      </c>
      <c r="L27" s="11">
        <f>K27-1</f>
        <v>54</v>
      </c>
      <c r="M27" s="6">
        <f>$B$2</f>
        <v>500</v>
      </c>
      <c r="N27" s="6">
        <f>M27*K27</f>
        <v>27500</v>
      </c>
      <c r="O27" s="6">
        <f>N27-M27</f>
        <v>27000</v>
      </c>
      <c r="P27" s="5" t="s">
        <v>780</v>
      </c>
      <c r="Q27" s="5" t="s">
        <v>781</v>
      </c>
      <c r="R27" s="5" t="s">
        <v>782</v>
      </c>
    </row>
    <row r="28" ht="105" customHeight="1" spans="1:18">
      <c r="A28" s="3" t="s">
        <v>783</v>
      </c>
      <c r="B28" s="3" t="s">
        <v>237</v>
      </c>
      <c r="C28" s="3">
        <v>2018</v>
      </c>
      <c r="D28" s="3" t="s">
        <v>784</v>
      </c>
      <c r="E28" s="3" t="s">
        <v>785</v>
      </c>
      <c r="F28" s="3" t="s">
        <v>693</v>
      </c>
      <c r="G28" s="4">
        <v>3</v>
      </c>
      <c r="H28" s="4">
        <v>48</v>
      </c>
      <c r="I28" s="4"/>
      <c r="J28" s="8">
        <v>1</v>
      </c>
      <c r="K28" s="4">
        <f>IF(ISNUMBER(I28),I28,IF(AND(ISNUMBER(G28),ISNUMBER(H28)),H28/G28,NA()))*J28</f>
        <v>16</v>
      </c>
      <c r="L28" s="8">
        <f>K28-1</f>
        <v>15</v>
      </c>
      <c r="M28" s="4">
        <f>$B$2</f>
        <v>500</v>
      </c>
      <c r="N28" s="4">
        <f>M28*K28</f>
        <v>8000</v>
      </c>
      <c r="O28" s="4">
        <f>N28-M28</f>
        <v>7500</v>
      </c>
      <c r="P28" s="3" t="s">
        <v>699</v>
      </c>
      <c r="Q28" s="3" t="s">
        <v>786</v>
      </c>
      <c r="R28" s="3" t="s">
        <v>787</v>
      </c>
    </row>
    <row r="29" ht="105" customHeight="1" spans="1:18">
      <c r="A29" s="5" t="s">
        <v>788</v>
      </c>
      <c r="B29" s="5" t="s">
        <v>288</v>
      </c>
      <c r="C29" s="5">
        <v>2018</v>
      </c>
      <c r="D29" s="5" t="s">
        <v>789</v>
      </c>
      <c r="E29" s="5" t="s">
        <v>790</v>
      </c>
      <c r="F29" s="5" t="s">
        <v>680</v>
      </c>
      <c r="G29" s="6"/>
      <c r="H29" s="6"/>
      <c r="I29" s="6">
        <v>0.1</v>
      </c>
      <c r="J29" s="11">
        <v>1</v>
      </c>
      <c r="K29" s="6">
        <f>IF(ISNUMBER(I29),I29,IF(AND(ISNUMBER(G29),ISNUMBER(H29)),H29/G29,NA()))*J29</f>
        <v>0.1</v>
      </c>
      <c r="L29" s="11">
        <f>K29-1</f>
        <v>-0.9</v>
      </c>
      <c r="M29" s="6">
        <f>$B$2</f>
        <v>500</v>
      </c>
      <c r="N29" s="6">
        <f>M29*K29</f>
        <v>50</v>
      </c>
      <c r="O29" s="6">
        <f>N29-M29</f>
        <v>-450</v>
      </c>
      <c r="P29" s="5" t="s">
        <v>699</v>
      </c>
      <c r="Q29" s="5" t="s">
        <v>791</v>
      </c>
      <c r="R29" s="5" t="s">
        <v>792</v>
      </c>
    </row>
    <row r="30" ht="105" customHeight="1" spans="1:18">
      <c r="A30" s="3" t="s">
        <v>793</v>
      </c>
      <c r="B30" s="3" t="s">
        <v>312</v>
      </c>
      <c r="C30" s="3">
        <v>2019</v>
      </c>
      <c r="D30" s="3" t="s">
        <v>794</v>
      </c>
      <c r="E30" s="3" t="s">
        <v>795</v>
      </c>
      <c r="F30" s="3" t="s">
        <v>680</v>
      </c>
      <c r="G30" s="4">
        <v>3.75</v>
      </c>
      <c r="H30" s="4">
        <v>2116.5</v>
      </c>
      <c r="I30" s="4"/>
      <c r="J30" s="8">
        <v>1</v>
      </c>
      <c r="K30" s="4">
        <f>IF(ISNUMBER(I30),I30,IF(AND(ISNUMBER(G30),ISNUMBER(H30)),H30/G30,NA()))*J30</f>
        <v>564.4</v>
      </c>
      <c r="L30" s="8">
        <f>K30-1</f>
        <v>563.4</v>
      </c>
      <c r="M30" s="4">
        <f>$B$2</f>
        <v>500</v>
      </c>
      <c r="N30" s="4">
        <f>M30*K30</f>
        <v>282200</v>
      </c>
      <c r="O30" s="4">
        <f>N30-M30</f>
        <v>281700</v>
      </c>
      <c r="P30" s="3" t="s">
        <v>699</v>
      </c>
      <c r="Q30" s="3" t="s">
        <v>796</v>
      </c>
      <c r="R30" s="3" t="s">
        <v>797</v>
      </c>
    </row>
    <row r="31" ht="105" customHeight="1" spans="1:18">
      <c r="A31" s="3" t="s">
        <v>798</v>
      </c>
      <c r="B31" s="9" t="s">
        <v>134</v>
      </c>
      <c r="C31" s="3">
        <v>2019</v>
      </c>
      <c r="D31" s="3" t="s">
        <v>799</v>
      </c>
      <c r="E31" s="3" t="s">
        <v>800</v>
      </c>
      <c r="F31" s="3" t="s">
        <v>693</v>
      </c>
      <c r="G31" s="4">
        <v>1</v>
      </c>
      <c r="H31" s="4">
        <v>16.7</v>
      </c>
      <c r="I31" s="4"/>
      <c r="J31" s="8">
        <v>1</v>
      </c>
      <c r="K31" s="4">
        <f>IF(ISNUMBER(I31),I31,IF(AND(ISNUMBER(G31),ISNUMBER(H31)),H31/G31,NA()))*J31</f>
        <v>16.7</v>
      </c>
      <c r="L31" s="8">
        <f>K31-1</f>
        <v>15.7</v>
      </c>
      <c r="M31" s="4">
        <f>$B$2</f>
        <v>500</v>
      </c>
      <c r="N31" s="4">
        <f>M31*K31</f>
        <v>8350</v>
      </c>
      <c r="O31" s="4">
        <f>N31-M31</f>
        <v>7850</v>
      </c>
      <c r="P31" s="3" t="s">
        <v>801</v>
      </c>
      <c r="Q31" s="3" t="s">
        <v>802</v>
      </c>
      <c r="R31" s="3" t="s">
        <v>803</v>
      </c>
    </row>
    <row r="32" ht="105" customHeight="1" spans="1:18">
      <c r="A32" s="3" t="s">
        <v>804</v>
      </c>
      <c r="B32" s="3" t="s">
        <v>389</v>
      </c>
      <c r="C32" s="3">
        <v>2020</v>
      </c>
      <c r="D32" s="3" t="s">
        <v>805</v>
      </c>
      <c r="E32" s="3" t="s">
        <v>806</v>
      </c>
      <c r="F32" s="3" t="s">
        <v>680</v>
      </c>
      <c r="G32" s="4">
        <v>4.8</v>
      </c>
      <c r="H32" s="4">
        <v>1748.04</v>
      </c>
      <c r="I32" s="4"/>
      <c r="J32" s="8">
        <v>1</v>
      </c>
      <c r="K32" s="4">
        <f>IF(ISNUMBER(I32),I32,IF(AND(ISNUMBER(G32),ISNUMBER(H32)),H32/G32,NA()))*J32</f>
        <v>364.175</v>
      </c>
      <c r="L32" s="8">
        <f>K32-1</f>
        <v>363.175</v>
      </c>
      <c r="M32" s="4">
        <f>$B$2</f>
        <v>500</v>
      </c>
      <c r="N32" s="4">
        <f>M32*K32</f>
        <v>182087.5</v>
      </c>
      <c r="O32" s="4">
        <f>N32-M32</f>
        <v>181587.5</v>
      </c>
      <c r="P32" s="3" t="s">
        <v>699</v>
      </c>
      <c r="Q32" s="3" t="s">
        <v>807</v>
      </c>
      <c r="R32" s="3" t="s">
        <v>808</v>
      </c>
    </row>
    <row r="33" ht="105" customHeight="1" spans="1:18">
      <c r="A33" s="3" t="s">
        <v>809</v>
      </c>
      <c r="B33" s="3" t="s">
        <v>402</v>
      </c>
      <c r="C33" s="3">
        <v>2020</v>
      </c>
      <c r="D33" s="3" t="s">
        <v>810</v>
      </c>
      <c r="E33" s="3" t="s">
        <v>806</v>
      </c>
      <c r="F33" s="3" t="s">
        <v>680</v>
      </c>
      <c r="G33" s="4">
        <v>16.46</v>
      </c>
      <c r="H33" s="4">
        <v>1668.6</v>
      </c>
      <c r="I33" s="4"/>
      <c r="J33" s="8">
        <v>1</v>
      </c>
      <c r="K33" s="4">
        <f>IF(ISNUMBER(I33),I33,IF(AND(ISNUMBER(G33),ISNUMBER(H33)),H33/G33,NA()))*J33</f>
        <v>101.373025516403</v>
      </c>
      <c r="L33" s="8">
        <f>K33-1</f>
        <v>100.373025516403</v>
      </c>
      <c r="M33" s="4">
        <f>$B$2</f>
        <v>500</v>
      </c>
      <c r="N33" s="4">
        <f>M33*K33</f>
        <v>50686.5127582017</v>
      </c>
      <c r="O33" s="4">
        <f>N33-M33</f>
        <v>50186.5127582017</v>
      </c>
      <c r="P33" s="3" t="s">
        <v>699</v>
      </c>
      <c r="Q33" s="3" t="s">
        <v>811</v>
      </c>
      <c r="R33" s="3" t="s">
        <v>812</v>
      </c>
    </row>
    <row r="34" ht="105" customHeight="1" spans="1:18">
      <c r="A34" s="5" t="s">
        <v>813</v>
      </c>
      <c r="B34" s="5" t="s">
        <v>376</v>
      </c>
      <c r="C34" s="5">
        <v>2020</v>
      </c>
      <c r="D34" s="5" t="s">
        <v>739</v>
      </c>
      <c r="E34" s="5" t="s">
        <v>740</v>
      </c>
      <c r="F34" s="5" t="s">
        <v>680</v>
      </c>
      <c r="G34" s="6">
        <v>2.6</v>
      </c>
      <c r="H34" s="6">
        <v>52</v>
      </c>
      <c r="I34" s="6"/>
      <c r="J34" s="11">
        <v>1</v>
      </c>
      <c r="K34" s="6">
        <f>IF(ISNUMBER(I34),I34,IF(AND(ISNUMBER(G34),ISNUMBER(H34)),H34/G34,NA()))*J34</f>
        <v>20</v>
      </c>
      <c r="L34" s="11">
        <f>K34-1</f>
        <v>19</v>
      </c>
      <c r="M34" s="6">
        <f>$B$2</f>
        <v>500</v>
      </c>
      <c r="N34" s="6">
        <f>M34*K34</f>
        <v>10000</v>
      </c>
      <c r="O34" s="6">
        <f>N34-M34</f>
        <v>9500</v>
      </c>
      <c r="P34" s="5" t="s">
        <v>687</v>
      </c>
      <c r="Q34" s="5" t="s">
        <v>814</v>
      </c>
      <c r="R34" s="5" t="s">
        <v>742</v>
      </c>
    </row>
    <row r="35" ht="105" customHeight="1" spans="1:18">
      <c r="A35" s="3" t="s">
        <v>815</v>
      </c>
      <c r="B35" s="3" t="s">
        <v>326</v>
      </c>
      <c r="C35" s="3">
        <v>2020</v>
      </c>
      <c r="D35" s="3" t="s">
        <v>816</v>
      </c>
      <c r="E35" s="3" t="s">
        <v>817</v>
      </c>
      <c r="F35" s="3" t="s">
        <v>680</v>
      </c>
      <c r="G35" s="4">
        <v>1565</v>
      </c>
      <c r="H35" s="4">
        <v>29590.68</v>
      </c>
      <c r="I35" s="4"/>
      <c r="J35" s="8">
        <v>1</v>
      </c>
      <c r="K35" s="4">
        <f>IF(ISNUMBER(I35),I35,IF(AND(ISNUMBER(G35),ISNUMBER(H35)),H35/G35,NA()))*J35</f>
        <v>18.9077827476038</v>
      </c>
      <c r="L35" s="8">
        <f>K35-1</f>
        <v>17.9077827476038</v>
      </c>
      <c r="M35" s="4">
        <f>$B$2</f>
        <v>500</v>
      </c>
      <c r="N35" s="4">
        <f>M35*K35</f>
        <v>9453.89137380192</v>
      </c>
      <c r="O35" s="4">
        <f>N35-M35</f>
        <v>8953.89137380192</v>
      </c>
      <c r="P35" s="3" t="s">
        <v>699</v>
      </c>
      <c r="Q35" s="3" t="s">
        <v>818</v>
      </c>
      <c r="R35" s="3" t="s">
        <v>819</v>
      </c>
    </row>
    <row r="36" ht="105" customHeight="1" spans="1:18">
      <c r="A36" s="3" t="s">
        <v>820</v>
      </c>
      <c r="B36" s="3" t="s">
        <v>339</v>
      </c>
      <c r="C36" s="3">
        <v>2020</v>
      </c>
      <c r="D36" s="3" t="s">
        <v>821</v>
      </c>
      <c r="E36" s="3" t="s">
        <v>822</v>
      </c>
      <c r="F36" s="3" t="s">
        <v>680</v>
      </c>
      <c r="G36" s="4">
        <v>29.08</v>
      </c>
      <c r="H36" s="4">
        <v>228.75</v>
      </c>
      <c r="I36" s="4"/>
      <c r="J36" s="8">
        <v>1</v>
      </c>
      <c r="K36" s="4">
        <f>IF(ISNUMBER(I36),I36,IF(AND(ISNUMBER(G36),ISNUMBER(H36)),H36/G36,NA()))*J36</f>
        <v>7.8662310866575</v>
      </c>
      <c r="L36" s="8">
        <f>K36-1</f>
        <v>6.8662310866575</v>
      </c>
      <c r="M36" s="4">
        <f>$B$2</f>
        <v>500</v>
      </c>
      <c r="N36" s="4">
        <f>M36*K36</f>
        <v>3933.11554332875</v>
      </c>
      <c r="O36" s="4">
        <f>N36-M36</f>
        <v>3433.11554332875</v>
      </c>
      <c r="P36" s="3" t="s">
        <v>699</v>
      </c>
      <c r="Q36" s="3" t="s">
        <v>823</v>
      </c>
      <c r="R36" s="3" t="s">
        <v>824</v>
      </c>
    </row>
    <row r="37" ht="105" customHeight="1" spans="1:18">
      <c r="A37" s="3" t="s">
        <v>825</v>
      </c>
      <c r="B37" s="3" t="s">
        <v>353</v>
      </c>
      <c r="C37" s="3">
        <v>2020</v>
      </c>
      <c r="D37" s="3" t="s">
        <v>789</v>
      </c>
      <c r="E37" s="3" t="s">
        <v>790</v>
      </c>
      <c r="F37" s="3" t="s">
        <v>680</v>
      </c>
      <c r="G37" s="4"/>
      <c r="H37" s="4"/>
      <c r="I37" s="4">
        <v>0.1</v>
      </c>
      <c r="J37" s="8">
        <v>1</v>
      </c>
      <c r="K37" s="4">
        <f>IF(ISNUMBER(I37),I37,IF(AND(ISNUMBER(G37),ISNUMBER(H37)),H37/G37,NA()))*J37</f>
        <v>0.1</v>
      </c>
      <c r="L37" s="8">
        <f>K37-1</f>
        <v>-0.9</v>
      </c>
      <c r="M37" s="4">
        <f>$B$2</f>
        <v>500</v>
      </c>
      <c r="N37" s="4">
        <f>M37*K37</f>
        <v>50</v>
      </c>
      <c r="O37" s="4">
        <f>N37-M37</f>
        <v>-450</v>
      </c>
      <c r="P37" s="3" t="s">
        <v>699</v>
      </c>
      <c r="Q37" s="3" t="s">
        <v>826</v>
      </c>
      <c r="R37" s="3" t="s">
        <v>792</v>
      </c>
    </row>
    <row r="38" ht="105" customHeight="1" spans="1:18">
      <c r="A38" s="5" t="s">
        <v>827</v>
      </c>
      <c r="B38" s="5" t="s">
        <v>364</v>
      </c>
      <c r="C38" s="5">
        <v>2020</v>
      </c>
      <c r="D38" s="5" t="s">
        <v>698</v>
      </c>
      <c r="E38" s="5" t="s">
        <v>828</v>
      </c>
      <c r="F38" s="5" t="s">
        <v>680</v>
      </c>
      <c r="G38" s="6"/>
      <c r="H38" s="6"/>
      <c r="I38" s="6">
        <v>0.1</v>
      </c>
      <c r="J38" s="11">
        <v>1</v>
      </c>
      <c r="K38" s="6">
        <f>IF(ISNUMBER(I38),I38,IF(AND(ISNUMBER(G38),ISNUMBER(H38)),H38/G38,NA()))*J38</f>
        <v>0.1</v>
      </c>
      <c r="L38" s="11">
        <f>K38-1</f>
        <v>-0.9</v>
      </c>
      <c r="M38" s="6">
        <f>$B$2</f>
        <v>500</v>
      </c>
      <c r="N38" s="6">
        <f>M38*K38</f>
        <v>50</v>
      </c>
      <c r="O38" s="6">
        <f>N38-M38</f>
        <v>-450</v>
      </c>
      <c r="P38" s="5" t="s">
        <v>699</v>
      </c>
      <c r="Q38" s="5" t="s">
        <v>829</v>
      </c>
      <c r="R38" s="5" t="s">
        <v>830</v>
      </c>
    </row>
    <row r="39" ht="105" customHeight="1" spans="1:18">
      <c r="A39" s="3" t="s">
        <v>831</v>
      </c>
      <c r="B39" s="3" t="s">
        <v>415</v>
      </c>
      <c r="C39" s="3">
        <v>2021</v>
      </c>
      <c r="D39" s="3" t="s">
        <v>832</v>
      </c>
      <c r="E39" s="3" t="s">
        <v>833</v>
      </c>
      <c r="F39" s="3" t="s">
        <v>680</v>
      </c>
      <c r="G39" s="4">
        <v>1</v>
      </c>
      <c r="H39" s="4">
        <v>100</v>
      </c>
      <c r="I39" s="4"/>
      <c r="J39" s="8">
        <v>1</v>
      </c>
      <c r="K39" s="4">
        <f>IF(ISNUMBER(I39),I39,IF(AND(ISNUMBER(G39),ISNUMBER(H39)),H39/G39,NA()))*J39</f>
        <v>100</v>
      </c>
      <c r="L39" s="8">
        <f>K39-1</f>
        <v>99</v>
      </c>
      <c r="M39" s="4">
        <f>$B$2</f>
        <v>500</v>
      </c>
      <c r="N39" s="4">
        <f>M39*K39</f>
        <v>50000</v>
      </c>
      <c r="O39" s="4">
        <f>N39-M39</f>
        <v>49500</v>
      </c>
      <c r="P39" s="3" t="s">
        <v>834</v>
      </c>
      <c r="Q39" s="3" t="s">
        <v>835</v>
      </c>
      <c r="R39" s="3" t="s">
        <v>836</v>
      </c>
    </row>
    <row r="40" ht="105" customHeight="1" spans="1:18">
      <c r="A40" s="5" t="s">
        <v>837</v>
      </c>
      <c r="B40" s="5" t="s">
        <v>428</v>
      </c>
      <c r="C40" s="5">
        <v>2021</v>
      </c>
      <c r="D40" s="5" t="s">
        <v>838</v>
      </c>
      <c r="E40" s="5" t="s">
        <v>839</v>
      </c>
      <c r="F40" s="5" t="s">
        <v>680</v>
      </c>
      <c r="G40" s="6"/>
      <c r="H40" s="6"/>
      <c r="I40" s="6">
        <v>0.1</v>
      </c>
      <c r="J40" s="11">
        <v>1</v>
      </c>
      <c r="K40" s="6">
        <f>IF(ISNUMBER(I40),I40,IF(AND(ISNUMBER(G40),ISNUMBER(H40)),H40/G40,NA()))*J40</f>
        <v>0.1</v>
      </c>
      <c r="L40" s="11">
        <f>K40-1</f>
        <v>-0.9</v>
      </c>
      <c r="M40" s="6">
        <f>$B$2</f>
        <v>500</v>
      </c>
      <c r="N40" s="6">
        <f>M40*K40</f>
        <v>50</v>
      </c>
      <c r="O40" s="6">
        <f>N40-M40</f>
        <v>-450</v>
      </c>
      <c r="P40" s="5" t="s">
        <v>699</v>
      </c>
      <c r="Q40" s="5" t="s">
        <v>840</v>
      </c>
      <c r="R40" s="5" t="s">
        <v>841</v>
      </c>
    </row>
    <row r="41" ht="105" customHeight="1" spans="1:18">
      <c r="A41" s="5" t="s">
        <v>842</v>
      </c>
      <c r="B41" s="5" t="s">
        <v>440</v>
      </c>
      <c r="C41" s="5">
        <v>2022</v>
      </c>
      <c r="D41" s="5" t="s">
        <v>739</v>
      </c>
      <c r="E41" s="5" t="s">
        <v>740</v>
      </c>
      <c r="F41" s="5" t="s">
        <v>680</v>
      </c>
      <c r="G41" s="6">
        <v>2</v>
      </c>
      <c r="H41" s="6">
        <v>80</v>
      </c>
      <c r="I41" s="6"/>
      <c r="J41" s="11">
        <v>1</v>
      </c>
      <c r="K41" s="6">
        <f>IF(ISNUMBER(I41),I41,IF(AND(ISNUMBER(G41),ISNUMBER(H41)),H41/G41,NA()))*J41</f>
        <v>40</v>
      </c>
      <c r="L41" s="11">
        <f>K41-1</f>
        <v>39</v>
      </c>
      <c r="M41" s="6">
        <f>$B$2</f>
        <v>500</v>
      </c>
      <c r="N41" s="6">
        <f>M41*K41</f>
        <v>20000</v>
      </c>
      <c r="O41" s="6">
        <f>N41-M41</f>
        <v>19500</v>
      </c>
      <c r="P41" s="5" t="s">
        <v>687</v>
      </c>
      <c r="Q41" s="5" t="s">
        <v>843</v>
      </c>
      <c r="R41" s="5" t="s">
        <v>844</v>
      </c>
    </row>
    <row r="42" ht="105" customHeight="1" spans="1:18">
      <c r="A42" s="5" t="s">
        <v>845</v>
      </c>
      <c r="B42" s="5" t="s">
        <v>453</v>
      </c>
      <c r="C42" s="5">
        <v>2022</v>
      </c>
      <c r="D42" s="5" t="s">
        <v>846</v>
      </c>
      <c r="E42" s="5" t="s">
        <v>847</v>
      </c>
      <c r="F42" s="3" t="s">
        <v>680</v>
      </c>
      <c r="G42" s="6">
        <v>15</v>
      </c>
      <c r="H42" s="6">
        <v>539</v>
      </c>
      <c r="I42" s="6"/>
      <c r="J42" s="11">
        <v>1</v>
      </c>
      <c r="K42" s="6">
        <f>IF(ISNUMBER(I42),I42,IF(AND(ISNUMBER(G42),ISNUMBER(H42)),H42/G42,NA()))*J42</f>
        <v>35.9333333333333</v>
      </c>
      <c r="L42" s="11">
        <f>K42-1</f>
        <v>34.9333333333333</v>
      </c>
      <c r="M42" s="6">
        <f>$B$2</f>
        <v>500</v>
      </c>
      <c r="N42" s="6">
        <f>M42*K42</f>
        <v>17966.6666666667</v>
      </c>
      <c r="O42" s="6">
        <f>N42-M42</f>
        <v>17466.6666666667</v>
      </c>
      <c r="P42" s="5" t="s">
        <v>848</v>
      </c>
      <c r="Q42" s="5" t="s">
        <v>849</v>
      </c>
      <c r="R42" s="5" t="s">
        <v>850</v>
      </c>
    </row>
    <row r="43" ht="105" customHeight="1" spans="1:18">
      <c r="A43" s="5" t="s">
        <v>851</v>
      </c>
      <c r="B43" s="5" t="s">
        <v>466</v>
      </c>
      <c r="C43" s="5">
        <v>2023</v>
      </c>
      <c r="D43" s="5" t="s">
        <v>698</v>
      </c>
      <c r="E43" s="5" t="s">
        <v>852</v>
      </c>
      <c r="F43" s="5" t="s">
        <v>680</v>
      </c>
      <c r="G43" s="6">
        <v>2.2</v>
      </c>
      <c r="H43" s="6">
        <v>500</v>
      </c>
      <c r="I43" s="10"/>
      <c r="J43" s="11">
        <v>1</v>
      </c>
      <c r="K43" s="6">
        <f>IF(ISNUMBER(I43),I43,IF(AND(ISNUMBER(G43),ISNUMBER(H43)),H43/G43,NA()))*J43</f>
        <v>227.272727272727</v>
      </c>
      <c r="L43" s="11">
        <f>K43-1</f>
        <v>226.272727272727</v>
      </c>
      <c r="M43" s="6">
        <f>$B$2</f>
        <v>500</v>
      </c>
      <c r="N43" s="6">
        <f>M43*K43</f>
        <v>113636.363636364</v>
      </c>
      <c r="O43" s="6">
        <f>N43-M43</f>
        <v>113136.363636364</v>
      </c>
      <c r="P43" s="5" t="s">
        <v>853</v>
      </c>
      <c r="Q43" s="5" t="s">
        <v>854</v>
      </c>
      <c r="R43" s="5" t="s">
        <v>855</v>
      </c>
    </row>
    <row r="44" ht="105" customHeight="1" spans="1:18">
      <c r="A44" s="5" t="s">
        <v>856</v>
      </c>
      <c r="B44" s="5" t="s">
        <v>502</v>
      </c>
      <c r="C44" s="5">
        <v>2023</v>
      </c>
      <c r="D44" s="5" t="s">
        <v>857</v>
      </c>
      <c r="E44" s="5" t="s">
        <v>858</v>
      </c>
      <c r="F44" s="5" t="s">
        <v>693</v>
      </c>
      <c r="G44" s="6">
        <v>3</v>
      </c>
      <c r="H44" s="6">
        <v>500</v>
      </c>
      <c r="I44" s="6"/>
      <c r="J44" s="11">
        <v>1</v>
      </c>
      <c r="K44" s="6">
        <f>IF(ISNUMBER(I44),I44,IF(AND(ISNUMBER(G44),ISNUMBER(H44)),H44/G44,NA()))*J44</f>
        <v>166.666666666667</v>
      </c>
      <c r="L44" s="11">
        <f>K44-1</f>
        <v>165.666666666667</v>
      </c>
      <c r="M44" s="6">
        <f>$B$2</f>
        <v>500</v>
      </c>
      <c r="N44" s="6">
        <f>M44*K44</f>
        <v>83333.3333333333</v>
      </c>
      <c r="O44" s="6">
        <f>N44-M44</f>
        <v>82833.3333333333</v>
      </c>
      <c r="P44" s="5" t="s">
        <v>859</v>
      </c>
      <c r="Q44" s="5" t="s">
        <v>860</v>
      </c>
      <c r="R44" s="5" t="s">
        <v>861</v>
      </c>
    </row>
    <row r="45" ht="105" customHeight="1" spans="1:18">
      <c r="A45" s="5" t="s">
        <v>862</v>
      </c>
      <c r="B45" s="12" t="s">
        <v>539</v>
      </c>
      <c r="C45" s="5">
        <v>2023</v>
      </c>
      <c r="D45" s="5" t="s">
        <v>863</v>
      </c>
      <c r="E45" s="5" t="s">
        <v>864</v>
      </c>
      <c r="F45" s="3" t="s">
        <v>680</v>
      </c>
      <c r="G45" s="6">
        <v>1</v>
      </c>
      <c r="H45" s="6">
        <v>130</v>
      </c>
      <c r="I45" s="6"/>
      <c r="J45" s="11">
        <v>1</v>
      </c>
      <c r="K45" s="6">
        <f>IF(ISNUMBER(I45),I45,IF(AND(ISNUMBER(G45),ISNUMBER(H45)),H45/G45,NA()))*J45</f>
        <v>130</v>
      </c>
      <c r="L45" s="11">
        <f>K45-1</f>
        <v>129</v>
      </c>
      <c r="M45" s="6">
        <f>$B$2</f>
        <v>500</v>
      </c>
      <c r="N45" s="6">
        <f>M45*K45</f>
        <v>65000</v>
      </c>
      <c r="O45" s="6">
        <f>N45-M45</f>
        <v>64500</v>
      </c>
      <c r="P45" s="5" t="s">
        <v>865</v>
      </c>
      <c r="Q45" s="5" t="s">
        <v>866</v>
      </c>
      <c r="R45" s="5" t="s">
        <v>867</v>
      </c>
    </row>
    <row r="46" ht="105" customHeight="1" spans="1:18">
      <c r="A46" s="3" t="s">
        <v>868</v>
      </c>
      <c r="B46" s="3" t="s">
        <v>478</v>
      </c>
      <c r="C46" s="3">
        <v>2023</v>
      </c>
      <c r="D46" s="3" t="s">
        <v>869</v>
      </c>
      <c r="E46" s="3" t="s">
        <v>870</v>
      </c>
      <c r="F46" s="3" t="s">
        <v>680</v>
      </c>
      <c r="G46" s="4">
        <v>1</v>
      </c>
      <c r="H46" s="4">
        <v>100</v>
      </c>
      <c r="I46" s="4"/>
      <c r="J46" s="8">
        <v>1</v>
      </c>
      <c r="K46" s="4">
        <f>IF(ISNUMBER(I46),I46,IF(AND(ISNUMBER(G46),ISNUMBER(H46)),H46/G46,NA()))*J46</f>
        <v>100</v>
      </c>
      <c r="L46" s="8">
        <f>K46-1</f>
        <v>99</v>
      </c>
      <c r="M46" s="4">
        <f>$B$2</f>
        <v>500</v>
      </c>
      <c r="N46" s="4">
        <f>M46*K46</f>
        <v>50000</v>
      </c>
      <c r="O46" s="4">
        <f>N46-M46</f>
        <v>49500</v>
      </c>
      <c r="P46" s="3" t="s">
        <v>871</v>
      </c>
      <c r="Q46" s="3" t="s">
        <v>872</v>
      </c>
      <c r="R46" s="3" t="s">
        <v>873</v>
      </c>
    </row>
    <row r="47" ht="105" customHeight="1" spans="1:18">
      <c r="A47" s="5" t="s">
        <v>874</v>
      </c>
      <c r="B47" s="5" t="s">
        <v>490</v>
      </c>
      <c r="C47" s="5">
        <v>2023</v>
      </c>
      <c r="D47" s="5" t="s">
        <v>875</v>
      </c>
      <c r="E47" s="5" t="s">
        <v>876</v>
      </c>
      <c r="F47" s="5" t="s">
        <v>680</v>
      </c>
      <c r="G47" s="6">
        <v>4</v>
      </c>
      <c r="H47" s="6">
        <v>200</v>
      </c>
      <c r="I47" s="6"/>
      <c r="J47" s="11">
        <v>1</v>
      </c>
      <c r="K47" s="6">
        <f>IF(ISNUMBER(I47),I47,IF(AND(ISNUMBER(G47),ISNUMBER(H47)),H47/G47,NA()))*J47</f>
        <v>50</v>
      </c>
      <c r="L47" s="11">
        <f>K47-1</f>
        <v>49</v>
      </c>
      <c r="M47" s="6">
        <f>$B$2</f>
        <v>500</v>
      </c>
      <c r="N47" s="6">
        <f>M47*K47</f>
        <v>25000</v>
      </c>
      <c r="O47" s="6">
        <f>N47-M47</f>
        <v>24500</v>
      </c>
      <c r="P47" s="5" t="s">
        <v>877</v>
      </c>
      <c r="Q47" s="5" t="s">
        <v>878</v>
      </c>
      <c r="R47" s="5" t="s">
        <v>879</v>
      </c>
    </row>
    <row r="48" ht="105" customHeight="1" spans="1:18">
      <c r="A48" s="5" t="s">
        <v>880</v>
      </c>
      <c r="B48" s="12" t="s">
        <v>527</v>
      </c>
      <c r="C48" s="5">
        <v>2023</v>
      </c>
      <c r="D48" s="5" t="s">
        <v>698</v>
      </c>
      <c r="E48" s="5" t="s">
        <v>735</v>
      </c>
      <c r="F48" s="5" t="s">
        <v>680</v>
      </c>
      <c r="G48" s="6">
        <v>6</v>
      </c>
      <c r="H48" s="6">
        <v>143</v>
      </c>
      <c r="I48" s="6"/>
      <c r="J48" s="11">
        <v>1</v>
      </c>
      <c r="K48" s="6">
        <f>IF(ISNUMBER(I48),I48,IF(AND(ISNUMBER(G48),ISNUMBER(H48)),H48/G48,NA()))*J48</f>
        <v>23.8333333333333</v>
      </c>
      <c r="L48" s="11">
        <f>K48-1</f>
        <v>22.8333333333333</v>
      </c>
      <c r="M48" s="6">
        <f>$B$2</f>
        <v>500</v>
      </c>
      <c r="N48" s="6">
        <f>M48*K48</f>
        <v>11916.6666666667</v>
      </c>
      <c r="O48" s="6">
        <f>N48-M48</f>
        <v>11416.6666666667</v>
      </c>
      <c r="P48" s="5" t="s">
        <v>881</v>
      </c>
      <c r="Q48" s="5" t="s">
        <v>882</v>
      </c>
      <c r="R48" s="5" t="s">
        <v>883</v>
      </c>
    </row>
    <row r="49" ht="105" customHeight="1" spans="1:18">
      <c r="A49" s="5" t="s">
        <v>884</v>
      </c>
      <c r="B49" s="5" t="s">
        <v>577</v>
      </c>
      <c r="C49" s="5">
        <v>2024</v>
      </c>
      <c r="D49" s="5" t="s">
        <v>885</v>
      </c>
      <c r="E49" s="5" t="s">
        <v>886</v>
      </c>
      <c r="F49" s="5" t="s">
        <v>680</v>
      </c>
      <c r="G49" s="6">
        <v>1</v>
      </c>
      <c r="H49" s="6">
        <v>100</v>
      </c>
      <c r="I49" s="6"/>
      <c r="J49" s="11">
        <v>1</v>
      </c>
      <c r="K49" s="6">
        <f>IF(ISNUMBER(I49),I49,IF(AND(ISNUMBER(G49),ISNUMBER(H49)),H49/G49,NA()))*J49</f>
        <v>100</v>
      </c>
      <c r="L49" s="11">
        <f>K49-1</f>
        <v>99</v>
      </c>
      <c r="M49" s="6">
        <f>$B$2</f>
        <v>500</v>
      </c>
      <c r="N49" s="6">
        <f>M49*K49</f>
        <v>50000</v>
      </c>
      <c r="O49" s="6">
        <f>N49-M49</f>
        <v>49500</v>
      </c>
      <c r="P49" s="5" t="s">
        <v>887</v>
      </c>
      <c r="Q49" s="5" t="s">
        <v>888</v>
      </c>
      <c r="R49" s="5" t="s">
        <v>889</v>
      </c>
    </row>
    <row r="50" ht="105" customHeight="1" spans="1:18">
      <c r="A50" s="5" t="s">
        <v>890</v>
      </c>
      <c r="B50" s="5" t="s">
        <v>551</v>
      </c>
      <c r="C50" s="5">
        <v>2024</v>
      </c>
      <c r="D50" s="5" t="s">
        <v>739</v>
      </c>
      <c r="E50" s="5" t="s">
        <v>740</v>
      </c>
      <c r="F50" s="5" t="s">
        <v>680</v>
      </c>
      <c r="G50" s="6"/>
      <c r="H50" s="6"/>
      <c r="I50" s="6">
        <v>80</v>
      </c>
      <c r="J50" s="11">
        <v>1</v>
      </c>
      <c r="K50" s="6">
        <f>IF(ISNUMBER(I50),I50,IF(AND(ISNUMBER(G50),ISNUMBER(H50)),H50/G50,NA()))*J50</f>
        <v>80</v>
      </c>
      <c r="L50" s="11">
        <f>K50-1</f>
        <v>79</v>
      </c>
      <c r="M50" s="6">
        <f>$B$2</f>
        <v>500</v>
      </c>
      <c r="N50" s="6">
        <f>M50*K50</f>
        <v>40000</v>
      </c>
      <c r="O50" s="6">
        <f>N50-M50</f>
        <v>39500</v>
      </c>
      <c r="P50" s="5" t="s">
        <v>687</v>
      </c>
      <c r="Q50" s="5" t="s">
        <v>891</v>
      </c>
      <c r="R50" s="5" t="s">
        <v>742</v>
      </c>
    </row>
    <row r="51" ht="105" customHeight="1" spans="1:18">
      <c r="A51" s="3" t="s">
        <v>892</v>
      </c>
      <c r="B51" s="3" t="s">
        <v>590</v>
      </c>
      <c r="C51" s="3">
        <v>2024</v>
      </c>
      <c r="D51" s="3" t="s">
        <v>893</v>
      </c>
      <c r="E51" s="3" t="s">
        <v>731</v>
      </c>
      <c r="F51" s="3" t="s">
        <v>680</v>
      </c>
      <c r="G51" s="4"/>
      <c r="H51" s="4"/>
      <c r="I51" s="4">
        <v>60</v>
      </c>
      <c r="J51" s="8">
        <v>1</v>
      </c>
      <c r="K51" s="4">
        <f>IF(ISNUMBER(I51),I51,IF(AND(ISNUMBER(G51),ISNUMBER(H51)),H51/G51,NA()))*J51</f>
        <v>60</v>
      </c>
      <c r="L51" s="8">
        <f>K51-1</f>
        <v>59</v>
      </c>
      <c r="M51" s="4">
        <f>$B$2</f>
        <v>500</v>
      </c>
      <c r="N51" s="4">
        <f>M51*K51</f>
        <v>30000</v>
      </c>
      <c r="O51" s="4">
        <f>N51-M51</f>
        <v>29500</v>
      </c>
      <c r="P51" s="3" t="s">
        <v>687</v>
      </c>
      <c r="Q51" s="3" t="s">
        <v>894</v>
      </c>
      <c r="R51" s="3" t="s">
        <v>733</v>
      </c>
    </row>
    <row r="52" ht="105" customHeight="1" spans="1:18">
      <c r="A52" s="5" t="s">
        <v>895</v>
      </c>
      <c r="B52" s="5" t="s">
        <v>515</v>
      </c>
      <c r="C52" s="5">
        <v>2024</v>
      </c>
      <c r="D52" s="5" t="s">
        <v>896</v>
      </c>
      <c r="E52" s="5" t="s">
        <v>686</v>
      </c>
      <c r="F52" s="5" t="s">
        <v>680</v>
      </c>
      <c r="G52" s="6">
        <v>3</v>
      </c>
      <c r="H52" s="6">
        <v>150</v>
      </c>
      <c r="I52" s="6"/>
      <c r="J52" s="11">
        <v>1</v>
      </c>
      <c r="K52" s="6">
        <f>IF(ISNUMBER(I52),I52,IF(AND(ISNUMBER(G52),ISNUMBER(H52)),H52/G52,NA()))*J52</f>
        <v>50</v>
      </c>
      <c r="L52" s="11">
        <f>K52-1</f>
        <v>49</v>
      </c>
      <c r="M52" s="6">
        <f>$B$2</f>
        <v>500</v>
      </c>
      <c r="N52" s="6">
        <f>M52*K52</f>
        <v>25000</v>
      </c>
      <c r="O52" s="6">
        <f>N52-M52</f>
        <v>24500</v>
      </c>
      <c r="P52" s="5" t="s">
        <v>897</v>
      </c>
      <c r="Q52" s="5" t="s">
        <v>898</v>
      </c>
      <c r="R52" s="5" t="s">
        <v>899</v>
      </c>
    </row>
    <row r="53" ht="105" customHeight="1" spans="1:18">
      <c r="A53" s="3" t="s">
        <v>900</v>
      </c>
      <c r="B53" s="3" t="s">
        <v>603</v>
      </c>
      <c r="C53" s="3">
        <v>2024</v>
      </c>
      <c r="D53" s="3" t="s">
        <v>901</v>
      </c>
      <c r="E53" s="3" t="s">
        <v>902</v>
      </c>
      <c r="F53" s="3" t="s">
        <v>680</v>
      </c>
      <c r="G53" s="4">
        <v>2.8</v>
      </c>
      <c r="H53" s="4">
        <v>77.4</v>
      </c>
      <c r="I53" s="4"/>
      <c r="J53" s="8">
        <v>1</v>
      </c>
      <c r="K53" s="4">
        <f>IF(ISNUMBER(I53),I53,IF(AND(ISNUMBER(G53),ISNUMBER(H53)),H53/G53,NA()))*J53</f>
        <v>27.6428571428571</v>
      </c>
      <c r="L53" s="8">
        <f>K53-1</f>
        <v>26.6428571428571</v>
      </c>
      <c r="M53" s="4">
        <f>$B$2</f>
        <v>500</v>
      </c>
      <c r="N53" s="4">
        <f>M53*K53</f>
        <v>13821.4285714286</v>
      </c>
      <c r="O53" s="4">
        <f>N53-M53</f>
        <v>13321.4285714286</v>
      </c>
      <c r="P53" s="3" t="s">
        <v>903</v>
      </c>
      <c r="Q53" s="3" t="s">
        <v>904</v>
      </c>
      <c r="R53" s="3" t="s">
        <v>905</v>
      </c>
    </row>
    <row r="54" ht="105" customHeight="1" spans="1:18">
      <c r="A54" s="5" t="s">
        <v>906</v>
      </c>
      <c r="B54" s="5" t="s">
        <v>565</v>
      </c>
      <c r="C54" s="5">
        <v>2024</v>
      </c>
      <c r="D54" s="5" t="s">
        <v>907</v>
      </c>
      <c r="E54" s="5" t="s">
        <v>908</v>
      </c>
      <c r="F54" s="5" t="s">
        <v>680</v>
      </c>
      <c r="G54" s="6">
        <v>10</v>
      </c>
      <c r="H54" s="6">
        <v>200</v>
      </c>
      <c r="I54" s="6"/>
      <c r="J54" s="11">
        <v>1</v>
      </c>
      <c r="K54" s="6">
        <f>IF(ISNUMBER(I54),I54,IF(AND(ISNUMBER(G54),ISNUMBER(H54)),H54/G54,NA()))*J54</f>
        <v>20</v>
      </c>
      <c r="L54" s="11">
        <f>K54-1</f>
        <v>19</v>
      </c>
      <c r="M54" s="6">
        <f>$B$2</f>
        <v>500</v>
      </c>
      <c r="N54" s="6">
        <f>M54*K54</f>
        <v>10000</v>
      </c>
      <c r="O54" s="6">
        <f>N54-M54</f>
        <v>9500</v>
      </c>
      <c r="P54" s="5" t="s">
        <v>909</v>
      </c>
      <c r="Q54" s="5" t="s">
        <v>910</v>
      </c>
      <c r="R54" s="5" t="s">
        <v>911</v>
      </c>
    </row>
    <row r="55" ht="105" customHeight="1" spans="1:18">
      <c r="A55" s="3" t="s">
        <v>912</v>
      </c>
      <c r="B55" s="3" t="s">
        <v>616</v>
      </c>
      <c r="C55" s="3">
        <v>2026</v>
      </c>
      <c r="D55" s="3" t="s">
        <v>913</v>
      </c>
      <c r="E55" s="3" t="s">
        <v>731</v>
      </c>
      <c r="F55" s="3" t="s">
        <v>680</v>
      </c>
      <c r="G55" s="4"/>
      <c r="H55" s="4"/>
      <c r="I55" s="4">
        <v>8</v>
      </c>
      <c r="J55" s="8">
        <v>1</v>
      </c>
      <c r="K55" s="4">
        <f>IF(ISNUMBER(I55),I55,IF(AND(ISNUMBER(G55),ISNUMBER(H55)),H55/G55,NA()))*J55</f>
        <v>8</v>
      </c>
      <c r="L55" s="8">
        <f>K55-1</f>
        <v>7</v>
      </c>
      <c r="M55" s="4">
        <f>$B$2</f>
        <v>500</v>
      </c>
      <c r="N55" s="4">
        <f>M55*K55</f>
        <v>4000</v>
      </c>
      <c r="O55" s="4">
        <f>N55-M55</f>
        <v>3500</v>
      </c>
      <c r="P55" s="3" t="s">
        <v>687</v>
      </c>
      <c r="Q55" s="3" t="s">
        <v>732</v>
      </c>
      <c r="R55" s="3" t="s">
        <v>733</v>
      </c>
    </row>
    <row r="56" ht="105" customHeight="1" spans="1:18">
      <c r="A56" s="5" t="s">
        <v>914</v>
      </c>
      <c r="B56" s="5" t="s">
        <v>642</v>
      </c>
      <c r="C56" s="5">
        <v>2013</v>
      </c>
      <c r="D56" s="5" t="s">
        <v>915</v>
      </c>
      <c r="E56" s="5" t="s">
        <v>740</v>
      </c>
      <c r="F56" s="5" t="s">
        <v>680</v>
      </c>
      <c r="G56" s="6"/>
      <c r="H56" s="6">
        <v>0</v>
      </c>
      <c r="I56" s="6">
        <v>0.1</v>
      </c>
      <c r="J56" s="11">
        <v>1</v>
      </c>
      <c r="K56" s="6">
        <f>IF(ISNUMBER(I56),I56,IF(AND(ISNUMBER(G56),ISNUMBER(H56)),H56/G56,NA()))*J56</f>
        <v>0.1</v>
      </c>
      <c r="L56" s="11">
        <f>K56-1</f>
        <v>-0.9</v>
      </c>
      <c r="M56" s="6">
        <f>$B$2</f>
        <v>500</v>
      </c>
      <c r="N56" s="6">
        <f>M56*K56</f>
        <v>50</v>
      </c>
      <c r="O56" s="6">
        <f>N56-M56</f>
        <v>-450</v>
      </c>
      <c r="P56" s="5" t="s">
        <v>687</v>
      </c>
      <c r="Q56" s="5" t="s">
        <v>916</v>
      </c>
      <c r="R56" s="5" t="s">
        <v>917</v>
      </c>
    </row>
  </sheetData>
  <autoFilter xmlns:etc="http://www.wps.cn/officeDocument/2017/etCustomData" ref="A6:R56" etc:filterBottomFollowUsedRange="0">
    <sortState ref="A7:R56">
      <sortCondition ref="C6"/>
    </sortState>
    <extLst/>
  </autoFilter>
  <mergeCells count="2">
    <mergeCell ref="A1:R1"/>
    <mergeCell ref="D2:R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8A9C"/>
  </sheetPr>
  <dimension ref="A1:K57"/>
  <sheetViews>
    <sheetView showGridLines="0" workbookViewId="0">
      <pane xSplit="2" ySplit="7" topLeftCell="C8" activePane="bottomRight" state="frozen"/>
      <selection/>
      <selection pane="topRight"/>
      <selection pane="bottomLeft"/>
      <selection pane="bottomRight" activeCell="A1" sqref="A1:K1"/>
    </sheetView>
  </sheetViews>
  <sheetFormatPr defaultColWidth="9" defaultRowHeight="16.8"/>
  <cols>
    <col min="1" max="1" width="10" customWidth="1"/>
    <col min="2" max="2" width="22" customWidth="1"/>
    <col min="3" max="4" width="28" customWidth="1"/>
    <col min="5" max="6" width="54" customWidth="1"/>
    <col min="7" max="7" width="16" customWidth="1"/>
    <col min="8" max="8" width="48" customWidth="1"/>
    <col min="9" max="9" width="40" customWidth="1"/>
    <col min="10" max="10" width="92" customWidth="1"/>
    <col min="11" max="11" width="40" customWidth="1"/>
  </cols>
  <sheetData>
    <row r="1" ht="32" customHeight="1" spans="1:11">
      <c r="A1" s="1" t="s">
        <v>918</v>
      </c>
      <c r="B1" s="1"/>
      <c r="C1" s="1"/>
      <c r="D1" s="1"/>
      <c r="E1" s="1"/>
      <c r="F1" s="1"/>
      <c r="G1" s="1"/>
      <c r="H1" s="1"/>
      <c r="I1" s="1"/>
      <c r="J1" s="1"/>
      <c r="K1" s="1"/>
    </row>
    <row r="7" ht="36" customHeight="1" spans="1:11">
      <c r="A7" s="2" t="s">
        <v>659</v>
      </c>
      <c r="B7" s="2" t="s">
        <v>919</v>
      </c>
      <c r="C7" s="2" t="s">
        <v>920</v>
      </c>
      <c r="D7" s="2" t="s">
        <v>921</v>
      </c>
      <c r="E7" s="2" t="s">
        <v>922</v>
      </c>
      <c r="F7" s="2" t="s">
        <v>923</v>
      </c>
      <c r="G7" s="2" t="s">
        <v>924</v>
      </c>
      <c r="H7" s="2" t="s">
        <v>925</v>
      </c>
      <c r="I7" s="2" t="s">
        <v>676</v>
      </c>
      <c r="J7" s="2" t="s">
        <v>926</v>
      </c>
      <c r="K7" s="2" t="s">
        <v>927</v>
      </c>
    </row>
    <row r="8" ht="140" customHeight="1" spans="1:11">
      <c r="A8" s="3" t="s">
        <v>729</v>
      </c>
      <c r="B8" s="3" t="s">
        <v>160</v>
      </c>
      <c r="C8" s="3" t="s">
        <v>928</v>
      </c>
      <c r="D8" s="3" t="s">
        <v>731</v>
      </c>
      <c r="E8" s="3" t="s">
        <v>929</v>
      </c>
      <c r="F8" s="3" t="s">
        <v>930</v>
      </c>
      <c r="G8" s="4">
        <v>1035</v>
      </c>
      <c r="H8" s="3" t="s">
        <v>931</v>
      </c>
      <c r="I8" s="3" t="s">
        <v>733</v>
      </c>
      <c r="J8" s="3" t="s">
        <v>932</v>
      </c>
      <c r="K8" s="3" t="s">
        <v>933</v>
      </c>
    </row>
    <row r="9" ht="140" customHeight="1" spans="1:11">
      <c r="A9" s="5" t="s">
        <v>842</v>
      </c>
      <c r="B9" s="5" t="s">
        <v>440</v>
      </c>
      <c r="C9" s="5" t="s">
        <v>934</v>
      </c>
      <c r="D9" s="5" t="s">
        <v>740</v>
      </c>
      <c r="E9" s="5" t="s">
        <v>935</v>
      </c>
      <c r="F9" s="5" t="s">
        <v>936</v>
      </c>
      <c r="G9" s="6">
        <v>40</v>
      </c>
      <c r="H9" s="5" t="s">
        <v>937</v>
      </c>
      <c r="I9" s="5" t="s">
        <v>844</v>
      </c>
      <c r="J9" s="5" t="s">
        <v>938</v>
      </c>
      <c r="K9" s="5" t="s">
        <v>933</v>
      </c>
    </row>
    <row r="10" ht="140" customHeight="1" spans="1:11">
      <c r="A10" s="3" t="s">
        <v>912</v>
      </c>
      <c r="B10" s="3" t="s">
        <v>616</v>
      </c>
      <c r="C10" s="3" t="s">
        <v>939</v>
      </c>
      <c r="D10" s="3" t="s">
        <v>731</v>
      </c>
      <c r="E10" s="3" t="s">
        <v>940</v>
      </c>
      <c r="F10" s="3" t="s">
        <v>930</v>
      </c>
      <c r="G10" s="4">
        <v>8</v>
      </c>
      <c r="H10" s="3" t="s">
        <v>931</v>
      </c>
      <c r="I10" s="3" t="s">
        <v>733</v>
      </c>
      <c r="J10" s="3" t="s">
        <v>941</v>
      </c>
      <c r="K10" s="3" t="s">
        <v>933</v>
      </c>
    </row>
    <row r="11" ht="140" customHeight="1" spans="1:11">
      <c r="A11" s="5" t="s">
        <v>890</v>
      </c>
      <c r="B11" s="5" t="s">
        <v>551</v>
      </c>
      <c r="C11" s="5" t="s">
        <v>942</v>
      </c>
      <c r="D11" s="5" t="s">
        <v>740</v>
      </c>
      <c r="E11" s="5" t="s">
        <v>943</v>
      </c>
      <c r="F11" s="5" t="s">
        <v>944</v>
      </c>
      <c r="G11" s="6">
        <v>80</v>
      </c>
      <c r="H11" s="5" t="s">
        <v>937</v>
      </c>
      <c r="I11" s="5" t="s">
        <v>742</v>
      </c>
      <c r="J11" s="5" t="s">
        <v>945</v>
      </c>
      <c r="K11" s="5" t="s">
        <v>933</v>
      </c>
    </row>
    <row r="12" ht="140" customHeight="1" spans="1:11">
      <c r="A12" s="3" t="s">
        <v>702</v>
      </c>
      <c r="B12" s="3" t="s">
        <v>69</v>
      </c>
      <c r="C12" s="3" t="s">
        <v>946</v>
      </c>
      <c r="D12" s="3" t="s">
        <v>692</v>
      </c>
      <c r="E12" s="3" t="s">
        <v>947</v>
      </c>
      <c r="F12" s="3" t="s">
        <v>948</v>
      </c>
      <c r="G12" s="4"/>
      <c r="H12" s="3" t="s">
        <v>949</v>
      </c>
      <c r="I12" s="3" t="s">
        <v>704</v>
      </c>
      <c r="J12" s="3" t="s">
        <v>950</v>
      </c>
      <c r="K12" s="3" t="s">
        <v>951</v>
      </c>
    </row>
    <row r="13" ht="140" customHeight="1" spans="1:11">
      <c r="A13" s="5" t="s">
        <v>697</v>
      </c>
      <c r="B13" s="5" t="s">
        <v>56</v>
      </c>
      <c r="C13" s="5" t="s">
        <v>952</v>
      </c>
      <c r="D13" s="5" t="s">
        <v>692</v>
      </c>
      <c r="E13" s="5" t="s">
        <v>953</v>
      </c>
      <c r="F13" s="5" t="s">
        <v>954</v>
      </c>
      <c r="G13" s="6"/>
      <c r="H13" s="5" t="s">
        <v>949</v>
      </c>
      <c r="I13" s="5" t="s">
        <v>701</v>
      </c>
      <c r="J13" s="5" t="s">
        <v>955</v>
      </c>
      <c r="K13" s="5" t="s">
        <v>951</v>
      </c>
    </row>
    <row r="14" ht="140" customHeight="1" spans="1:11">
      <c r="A14" s="3" t="s">
        <v>815</v>
      </c>
      <c r="B14" s="3" t="s">
        <v>326</v>
      </c>
      <c r="C14" s="3" t="s">
        <v>956</v>
      </c>
      <c r="D14" s="3" t="s">
        <v>817</v>
      </c>
      <c r="E14" s="3" t="s">
        <v>957</v>
      </c>
      <c r="F14" s="3" t="s">
        <v>958</v>
      </c>
      <c r="G14" s="4">
        <v>18.9081</v>
      </c>
      <c r="H14" s="3" t="s">
        <v>959</v>
      </c>
      <c r="I14" s="3" t="s">
        <v>819</v>
      </c>
      <c r="J14" s="3" t="s">
        <v>960</v>
      </c>
      <c r="K14" s="3" t="s">
        <v>961</v>
      </c>
    </row>
    <row r="15" ht="140" customHeight="1" spans="1:11">
      <c r="A15" s="5" t="s">
        <v>767</v>
      </c>
      <c r="B15" s="5" t="s">
        <v>263</v>
      </c>
      <c r="C15" s="5" t="s">
        <v>962</v>
      </c>
      <c r="D15" s="5" t="s">
        <v>769</v>
      </c>
      <c r="E15" s="5" t="s">
        <v>963</v>
      </c>
      <c r="F15" s="5" t="s">
        <v>964</v>
      </c>
      <c r="G15" s="6">
        <v>85.1</v>
      </c>
      <c r="H15" s="5" t="s">
        <v>965</v>
      </c>
      <c r="I15" s="5" t="s">
        <v>771</v>
      </c>
      <c r="J15" s="5" t="s">
        <v>966</v>
      </c>
      <c r="K15" s="5" t="s">
        <v>961</v>
      </c>
    </row>
    <row r="16" ht="140" customHeight="1" spans="1:11">
      <c r="A16" s="3" t="s">
        <v>719</v>
      </c>
      <c r="B16" s="3" t="s">
        <v>629</v>
      </c>
      <c r="C16" s="3" t="s">
        <v>967</v>
      </c>
      <c r="D16" s="3" t="s">
        <v>721</v>
      </c>
      <c r="E16" s="3" t="s">
        <v>968</v>
      </c>
      <c r="F16" s="3" t="s">
        <v>969</v>
      </c>
      <c r="G16" s="4">
        <v>4.3961</v>
      </c>
      <c r="H16" s="3" t="s">
        <v>970</v>
      </c>
      <c r="I16" s="3" t="s">
        <v>723</v>
      </c>
      <c r="J16" s="3" t="s">
        <v>971</v>
      </c>
      <c r="K16" s="3" t="s">
        <v>961</v>
      </c>
    </row>
    <row r="17" ht="140" customHeight="1" spans="1:11">
      <c r="A17" s="5" t="s">
        <v>845</v>
      </c>
      <c r="B17" s="5" t="s">
        <v>453</v>
      </c>
      <c r="C17" s="5" t="s">
        <v>972</v>
      </c>
      <c r="D17" s="5" t="s">
        <v>847</v>
      </c>
      <c r="E17" s="5" t="s">
        <v>973</v>
      </c>
      <c r="F17" s="5" t="s">
        <v>974</v>
      </c>
      <c r="G17" s="6">
        <v>25</v>
      </c>
      <c r="H17" s="5" t="s">
        <v>975</v>
      </c>
      <c r="I17" s="5" t="s">
        <v>850</v>
      </c>
      <c r="J17" s="5" t="s">
        <v>976</v>
      </c>
      <c r="K17" s="5" t="s">
        <v>961</v>
      </c>
    </row>
    <row r="18" ht="140" customHeight="1" spans="1:11">
      <c r="A18" s="3" t="s">
        <v>820</v>
      </c>
      <c r="B18" s="3" t="s">
        <v>339</v>
      </c>
      <c r="C18" s="3" t="s">
        <v>977</v>
      </c>
      <c r="D18" s="3" t="s">
        <v>822</v>
      </c>
      <c r="E18" s="3" t="s">
        <v>978</v>
      </c>
      <c r="F18" s="3" t="s">
        <v>979</v>
      </c>
      <c r="G18" s="4">
        <v>7.8669</v>
      </c>
      <c r="H18" s="3" t="s">
        <v>980</v>
      </c>
      <c r="I18" s="3" t="s">
        <v>824</v>
      </c>
      <c r="J18" s="3" t="s">
        <v>981</v>
      </c>
      <c r="K18" s="3" t="s">
        <v>961</v>
      </c>
    </row>
    <row r="19" ht="140" customHeight="1" spans="1:11">
      <c r="A19" s="5" t="s">
        <v>851</v>
      </c>
      <c r="B19" s="5" t="s">
        <v>466</v>
      </c>
      <c r="C19" s="5" t="s">
        <v>982</v>
      </c>
      <c r="D19" s="5" t="s">
        <v>852</v>
      </c>
      <c r="E19" s="5" t="s">
        <v>983</v>
      </c>
      <c r="F19" s="5" t="s">
        <v>984</v>
      </c>
      <c r="G19" s="6"/>
      <c r="H19" s="5" t="s">
        <v>931</v>
      </c>
      <c r="I19" s="5" t="s">
        <v>855</v>
      </c>
      <c r="J19" s="5" t="s">
        <v>985</v>
      </c>
      <c r="K19" s="5" t="s">
        <v>951</v>
      </c>
    </row>
    <row r="20" ht="140" customHeight="1" spans="1:11">
      <c r="A20" s="3" t="s">
        <v>868</v>
      </c>
      <c r="B20" s="3" t="s">
        <v>478</v>
      </c>
      <c r="C20" s="3" t="s">
        <v>986</v>
      </c>
      <c r="D20" s="3" t="s">
        <v>870</v>
      </c>
      <c r="E20" s="3" t="s">
        <v>987</v>
      </c>
      <c r="F20" s="3" t="s">
        <v>988</v>
      </c>
      <c r="G20" s="4"/>
      <c r="H20" s="3" t="s">
        <v>931</v>
      </c>
      <c r="I20" s="3" t="s">
        <v>873</v>
      </c>
      <c r="J20" s="3" t="s">
        <v>989</v>
      </c>
      <c r="K20" s="3" t="s">
        <v>951</v>
      </c>
    </row>
    <row r="21" ht="140" customHeight="1" spans="1:11">
      <c r="A21" s="5" t="s">
        <v>906</v>
      </c>
      <c r="B21" s="5" t="s">
        <v>565</v>
      </c>
      <c r="C21" s="5" t="s">
        <v>990</v>
      </c>
      <c r="D21" s="5" t="s">
        <v>908</v>
      </c>
      <c r="E21" s="5" t="s">
        <v>991</v>
      </c>
      <c r="F21" s="5" t="s">
        <v>992</v>
      </c>
      <c r="G21" s="6"/>
      <c r="H21" s="5" t="s">
        <v>931</v>
      </c>
      <c r="I21" s="5" t="s">
        <v>911</v>
      </c>
      <c r="J21" s="5" t="s">
        <v>993</v>
      </c>
      <c r="K21" s="5" t="s">
        <v>951</v>
      </c>
    </row>
    <row r="22" ht="140" customHeight="1" spans="1:11">
      <c r="A22" s="3" t="s">
        <v>677</v>
      </c>
      <c r="B22" s="3" t="s">
        <v>16</v>
      </c>
      <c r="C22" s="3" t="s">
        <v>994</v>
      </c>
      <c r="D22" s="3" t="s">
        <v>679</v>
      </c>
      <c r="E22" s="3" t="s">
        <v>995</v>
      </c>
      <c r="F22" s="3" t="s">
        <v>996</v>
      </c>
      <c r="G22" s="4">
        <v>755.58</v>
      </c>
      <c r="H22" s="3" t="s">
        <v>931</v>
      </c>
      <c r="I22" s="3" t="s">
        <v>683</v>
      </c>
      <c r="J22" s="3" t="s">
        <v>997</v>
      </c>
      <c r="K22" s="3" t="s">
        <v>961</v>
      </c>
    </row>
    <row r="23" ht="140" customHeight="1" spans="1:11">
      <c r="A23" s="5" t="s">
        <v>884</v>
      </c>
      <c r="B23" s="5" t="s">
        <v>577</v>
      </c>
      <c r="C23" s="5" t="s">
        <v>998</v>
      </c>
      <c r="D23" s="5" t="s">
        <v>886</v>
      </c>
      <c r="E23" s="5" t="s">
        <v>999</v>
      </c>
      <c r="F23" s="5" t="s">
        <v>1000</v>
      </c>
      <c r="G23" s="6">
        <v>100</v>
      </c>
      <c r="H23" s="5" t="s">
        <v>931</v>
      </c>
      <c r="I23" s="5" t="s">
        <v>889</v>
      </c>
      <c r="J23" s="5" t="s">
        <v>1001</v>
      </c>
      <c r="K23" s="5" t="s">
        <v>961</v>
      </c>
    </row>
    <row r="24" ht="140" customHeight="1" spans="1:11">
      <c r="A24" s="3" t="s">
        <v>892</v>
      </c>
      <c r="B24" s="3" t="s">
        <v>590</v>
      </c>
      <c r="C24" s="3" t="s">
        <v>1002</v>
      </c>
      <c r="D24" s="3" t="s">
        <v>731</v>
      </c>
      <c r="E24" s="3" t="s">
        <v>1003</v>
      </c>
      <c r="F24" s="3" t="s">
        <v>1004</v>
      </c>
      <c r="G24" s="4">
        <v>60</v>
      </c>
      <c r="H24" s="3" t="s">
        <v>931</v>
      </c>
      <c r="I24" s="3" t="s">
        <v>733</v>
      </c>
      <c r="J24" s="3" t="s">
        <v>1005</v>
      </c>
      <c r="K24" s="3" t="s">
        <v>933</v>
      </c>
    </row>
    <row r="25" ht="140" customHeight="1" spans="1:11">
      <c r="A25" s="5" t="s">
        <v>874</v>
      </c>
      <c r="B25" s="5" t="s">
        <v>490</v>
      </c>
      <c r="C25" s="5" t="s">
        <v>1006</v>
      </c>
      <c r="D25" s="5" t="s">
        <v>876</v>
      </c>
      <c r="E25" s="5" t="s">
        <v>1007</v>
      </c>
      <c r="F25" s="5" t="s">
        <v>1008</v>
      </c>
      <c r="G25" s="6"/>
      <c r="H25" s="5" t="s">
        <v>931</v>
      </c>
      <c r="I25" s="5" t="s">
        <v>879</v>
      </c>
      <c r="J25" s="5" t="s">
        <v>1009</v>
      </c>
      <c r="K25" s="5" t="s">
        <v>951</v>
      </c>
    </row>
    <row r="26" ht="140" customHeight="1" spans="1:11">
      <c r="A26" s="3" t="s">
        <v>747</v>
      </c>
      <c r="B26" s="3" t="s">
        <v>173</v>
      </c>
      <c r="C26" s="3" t="s">
        <v>1010</v>
      </c>
      <c r="D26" s="3" t="s">
        <v>707</v>
      </c>
      <c r="E26" s="3" t="s">
        <v>1011</v>
      </c>
      <c r="F26" s="3" t="s">
        <v>1012</v>
      </c>
      <c r="G26" s="4">
        <v>31.3113</v>
      </c>
      <c r="H26" s="3" t="s">
        <v>949</v>
      </c>
      <c r="I26" s="3" t="s">
        <v>750</v>
      </c>
      <c r="J26" s="3" t="s">
        <v>1013</v>
      </c>
      <c r="K26" s="3" t="s">
        <v>961</v>
      </c>
    </row>
    <row r="27" ht="140" customHeight="1" spans="1:11">
      <c r="A27" s="5" t="s">
        <v>705</v>
      </c>
      <c r="B27" s="5" t="s">
        <v>81</v>
      </c>
      <c r="C27" s="5" t="s">
        <v>1014</v>
      </c>
      <c r="D27" s="5" t="s">
        <v>707</v>
      </c>
      <c r="E27" s="5" t="s">
        <v>1015</v>
      </c>
      <c r="F27" s="5" t="s">
        <v>1016</v>
      </c>
      <c r="G27" s="6">
        <v>41.4243</v>
      </c>
      <c r="H27" s="5" t="s">
        <v>949</v>
      </c>
      <c r="I27" s="5" t="s">
        <v>709</v>
      </c>
      <c r="J27" s="5" t="s">
        <v>1017</v>
      </c>
      <c r="K27" s="5" t="s">
        <v>961</v>
      </c>
    </row>
    <row r="28" ht="140" customHeight="1" spans="1:11">
      <c r="A28" s="3" t="s">
        <v>762</v>
      </c>
      <c r="B28" s="3" t="s">
        <v>94</v>
      </c>
      <c r="C28" s="3" t="s">
        <v>1018</v>
      </c>
      <c r="D28" s="3" t="s">
        <v>707</v>
      </c>
      <c r="E28" s="3" t="s">
        <v>1019</v>
      </c>
      <c r="F28" s="3" t="s">
        <v>1020</v>
      </c>
      <c r="G28" s="4">
        <v>610.9817</v>
      </c>
      <c r="H28" s="3" t="s">
        <v>949</v>
      </c>
      <c r="I28" s="3" t="s">
        <v>1021</v>
      </c>
      <c r="J28" s="3" t="s">
        <v>1022</v>
      </c>
      <c r="K28" s="3" t="s">
        <v>961</v>
      </c>
    </row>
    <row r="29" ht="140" customHeight="1" spans="1:11">
      <c r="A29" s="5" t="s">
        <v>743</v>
      </c>
      <c r="B29" s="5" t="s">
        <v>186</v>
      </c>
      <c r="C29" s="5" t="s">
        <v>1023</v>
      </c>
      <c r="D29" s="5" t="s">
        <v>692</v>
      </c>
      <c r="E29" s="5" t="s">
        <v>1024</v>
      </c>
      <c r="F29" s="5" t="s">
        <v>1025</v>
      </c>
      <c r="G29" s="6"/>
      <c r="H29" s="5" t="s">
        <v>949</v>
      </c>
      <c r="I29" s="5" t="s">
        <v>746</v>
      </c>
      <c r="J29" s="5" t="s">
        <v>1026</v>
      </c>
      <c r="K29" s="5" t="s">
        <v>951</v>
      </c>
    </row>
    <row r="30" ht="140" customHeight="1" spans="1:11">
      <c r="A30" s="3" t="s">
        <v>690</v>
      </c>
      <c r="B30" s="3" t="s">
        <v>31</v>
      </c>
      <c r="C30" s="3" t="s">
        <v>1027</v>
      </c>
      <c r="D30" s="3" t="s">
        <v>692</v>
      </c>
      <c r="E30" s="3" t="s">
        <v>1028</v>
      </c>
      <c r="F30" s="3" t="s">
        <v>1029</v>
      </c>
      <c r="G30" s="4"/>
      <c r="H30" s="3" t="s">
        <v>949</v>
      </c>
      <c r="I30" s="3" t="s">
        <v>696</v>
      </c>
      <c r="J30" s="3" t="s">
        <v>1030</v>
      </c>
      <c r="K30" s="3" t="s">
        <v>951</v>
      </c>
    </row>
    <row r="31" ht="140" customHeight="1" spans="1:11">
      <c r="A31" s="5" t="s">
        <v>788</v>
      </c>
      <c r="B31" s="5" t="s">
        <v>288</v>
      </c>
      <c r="C31" s="5" t="s">
        <v>1031</v>
      </c>
      <c r="D31" s="5" t="s">
        <v>790</v>
      </c>
      <c r="E31" s="5" t="s">
        <v>1032</v>
      </c>
      <c r="F31" s="5" t="s">
        <v>1033</v>
      </c>
      <c r="G31" s="6"/>
      <c r="H31" s="5" t="s">
        <v>949</v>
      </c>
      <c r="I31" s="5" t="s">
        <v>792</v>
      </c>
      <c r="J31" s="5" t="s">
        <v>1034</v>
      </c>
      <c r="K31" s="5" t="s">
        <v>951</v>
      </c>
    </row>
    <row r="32" ht="140" customHeight="1" spans="1:11">
      <c r="A32" s="3" t="s">
        <v>825</v>
      </c>
      <c r="B32" s="3" t="s">
        <v>353</v>
      </c>
      <c r="C32" s="3" t="s">
        <v>1035</v>
      </c>
      <c r="D32" s="3" t="s">
        <v>790</v>
      </c>
      <c r="E32" s="3" t="s">
        <v>1036</v>
      </c>
      <c r="F32" s="3" t="s">
        <v>1033</v>
      </c>
      <c r="G32" s="4"/>
      <c r="H32" s="3" t="s">
        <v>949</v>
      </c>
      <c r="I32" s="3" t="s">
        <v>792</v>
      </c>
      <c r="J32" s="3" t="s">
        <v>1037</v>
      </c>
      <c r="K32" s="3" t="s">
        <v>951</v>
      </c>
    </row>
    <row r="33" ht="140" customHeight="1" spans="1:11">
      <c r="A33" s="5" t="s">
        <v>827</v>
      </c>
      <c r="B33" s="5" t="s">
        <v>364</v>
      </c>
      <c r="C33" s="5" t="s">
        <v>1038</v>
      </c>
      <c r="D33" s="5" t="s">
        <v>828</v>
      </c>
      <c r="E33" s="5" t="s">
        <v>1039</v>
      </c>
      <c r="F33" s="5" t="s">
        <v>1040</v>
      </c>
      <c r="G33" s="6"/>
      <c r="H33" s="5" t="s">
        <v>949</v>
      </c>
      <c r="I33" s="5" t="s">
        <v>830</v>
      </c>
      <c r="J33" s="5" t="s">
        <v>1041</v>
      </c>
      <c r="K33" s="5" t="s">
        <v>951</v>
      </c>
    </row>
    <row r="34" ht="140" customHeight="1" spans="1:11">
      <c r="A34" s="3" t="s">
        <v>738</v>
      </c>
      <c r="B34" s="3" t="s">
        <v>198</v>
      </c>
      <c r="C34" s="3" t="s">
        <v>1042</v>
      </c>
      <c r="D34" s="3" t="s">
        <v>740</v>
      </c>
      <c r="E34" s="3" t="s">
        <v>1043</v>
      </c>
      <c r="F34" s="3" t="s">
        <v>1044</v>
      </c>
      <c r="G34" s="4">
        <v>625</v>
      </c>
      <c r="H34" s="3" t="s">
        <v>937</v>
      </c>
      <c r="I34" s="3" t="s">
        <v>742</v>
      </c>
      <c r="J34" s="3" t="s">
        <v>1045</v>
      </c>
      <c r="K34" s="3" t="s">
        <v>933</v>
      </c>
    </row>
    <row r="35" ht="140" customHeight="1" spans="1:11">
      <c r="A35" s="5" t="s">
        <v>914</v>
      </c>
      <c r="B35" s="5" t="s">
        <v>642</v>
      </c>
      <c r="C35" s="5" t="s">
        <v>1046</v>
      </c>
      <c r="D35" s="5" t="s">
        <v>740</v>
      </c>
      <c r="E35" s="5" t="s">
        <v>1047</v>
      </c>
      <c r="F35" s="5" t="s">
        <v>1048</v>
      </c>
      <c r="G35" s="6">
        <v>0</v>
      </c>
      <c r="H35" s="5" t="s">
        <v>937</v>
      </c>
      <c r="I35" s="5" t="s">
        <v>917</v>
      </c>
      <c r="J35" s="5" t="s">
        <v>1049</v>
      </c>
      <c r="K35" s="5" t="s">
        <v>933</v>
      </c>
    </row>
    <row r="36" ht="140" customHeight="1" spans="1:11">
      <c r="A36" s="3" t="s">
        <v>756</v>
      </c>
      <c r="B36" s="3" t="s">
        <v>212</v>
      </c>
      <c r="C36" s="3" t="s">
        <v>1050</v>
      </c>
      <c r="D36" s="3" t="s">
        <v>758</v>
      </c>
      <c r="E36" s="3" t="s">
        <v>1051</v>
      </c>
      <c r="F36" s="3" t="s">
        <v>1052</v>
      </c>
      <c r="G36" s="4"/>
      <c r="H36" s="3" t="s">
        <v>1053</v>
      </c>
      <c r="I36" s="3" t="s">
        <v>761</v>
      </c>
      <c r="J36" s="3" t="s">
        <v>1054</v>
      </c>
      <c r="K36" s="3" t="s">
        <v>951</v>
      </c>
    </row>
    <row r="37" ht="140" customHeight="1" spans="1:11">
      <c r="A37" s="5" t="s">
        <v>751</v>
      </c>
      <c r="B37" s="5" t="s">
        <v>224</v>
      </c>
      <c r="C37" s="5" t="s">
        <v>1055</v>
      </c>
      <c r="D37" s="5" t="s">
        <v>753</v>
      </c>
      <c r="E37" s="5" t="s">
        <v>1056</v>
      </c>
      <c r="F37" s="5" t="s">
        <v>1057</v>
      </c>
      <c r="G37" s="6">
        <v>10.0939</v>
      </c>
      <c r="H37" s="5" t="s">
        <v>1058</v>
      </c>
      <c r="I37" s="5" t="s">
        <v>755</v>
      </c>
      <c r="J37" s="5" t="s">
        <v>1059</v>
      </c>
      <c r="K37" s="5" t="s">
        <v>961</v>
      </c>
    </row>
    <row r="38" ht="140" customHeight="1" spans="1:11">
      <c r="A38" s="3" t="s">
        <v>772</v>
      </c>
      <c r="B38" s="3" t="s">
        <v>276</v>
      </c>
      <c r="C38" s="3" t="s">
        <v>1060</v>
      </c>
      <c r="D38" s="3" t="s">
        <v>774</v>
      </c>
      <c r="E38" s="3" t="s">
        <v>1061</v>
      </c>
      <c r="F38" s="3" t="s">
        <v>1062</v>
      </c>
      <c r="G38" s="4"/>
      <c r="H38" s="3" t="s">
        <v>1063</v>
      </c>
      <c r="I38" s="3" t="s">
        <v>776</v>
      </c>
      <c r="J38" s="3" t="s">
        <v>1064</v>
      </c>
      <c r="K38" s="3" t="s">
        <v>951</v>
      </c>
    </row>
    <row r="39" ht="140" customHeight="1" spans="1:11">
      <c r="A39" s="5" t="s">
        <v>813</v>
      </c>
      <c r="B39" s="5" t="s">
        <v>376</v>
      </c>
      <c r="C39" s="5" t="s">
        <v>1065</v>
      </c>
      <c r="D39" s="5" t="s">
        <v>740</v>
      </c>
      <c r="E39" s="5" t="s">
        <v>1066</v>
      </c>
      <c r="F39" s="5" t="s">
        <v>1067</v>
      </c>
      <c r="G39" s="6">
        <v>20</v>
      </c>
      <c r="H39" s="5" t="s">
        <v>937</v>
      </c>
      <c r="I39" s="5" t="s">
        <v>742</v>
      </c>
      <c r="J39" s="5" t="s">
        <v>1068</v>
      </c>
      <c r="K39" s="5" t="s">
        <v>933</v>
      </c>
    </row>
    <row r="40" ht="140" customHeight="1" spans="1:11">
      <c r="A40" s="3" t="s">
        <v>831</v>
      </c>
      <c r="B40" s="3" t="s">
        <v>415</v>
      </c>
      <c r="C40" s="3" t="s">
        <v>1069</v>
      </c>
      <c r="D40" s="3" t="s">
        <v>833</v>
      </c>
      <c r="E40" s="3" t="s">
        <v>1070</v>
      </c>
      <c r="F40" s="3" t="s">
        <v>1071</v>
      </c>
      <c r="G40" s="4">
        <v>361.7571</v>
      </c>
      <c r="H40" s="3" t="s">
        <v>1072</v>
      </c>
      <c r="I40" s="3" t="s">
        <v>836</v>
      </c>
      <c r="J40" s="3" t="s">
        <v>1073</v>
      </c>
      <c r="K40" s="3" t="s">
        <v>961</v>
      </c>
    </row>
    <row r="41" ht="140" customHeight="1" spans="1:11">
      <c r="A41" s="5" t="s">
        <v>837</v>
      </c>
      <c r="B41" s="5" t="s">
        <v>428</v>
      </c>
      <c r="C41" s="5" t="s">
        <v>1074</v>
      </c>
      <c r="D41" s="5" t="s">
        <v>839</v>
      </c>
      <c r="E41" s="5" t="s">
        <v>1075</v>
      </c>
      <c r="F41" s="5" t="s">
        <v>1076</v>
      </c>
      <c r="G41" s="6"/>
      <c r="H41" s="5" t="s">
        <v>1077</v>
      </c>
      <c r="I41" s="5" t="s">
        <v>841</v>
      </c>
      <c r="J41" s="5" t="s">
        <v>1078</v>
      </c>
      <c r="K41" s="5" t="s">
        <v>951</v>
      </c>
    </row>
    <row r="42" ht="140" customHeight="1" spans="1:11">
      <c r="A42" s="3" t="s">
        <v>783</v>
      </c>
      <c r="B42" s="3" t="s">
        <v>237</v>
      </c>
      <c r="C42" s="3" t="s">
        <v>1023</v>
      </c>
      <c r="D42" s="3" t="s">
        <v>1079</v>
      </c>
      <c r="E42" s="3" t="s">
        <v>1080</v>
      </c>
      <c r="F42" s="3" t="s">
        <v>1081</v>
      </c>
      <c r="G42" s="4">
        <v>60</v>
      </c>
      <c r="H42" s="3" t="s">
        <v>1082</v>
      </c>
      <c r="I42" s="3" t="s">
        <v>1083</v>
      </c>
      <c r="J42" s="3" t="s">
        <v>1084</v>
      </c>
      <c r="K42" s="3" t="s">
        <v>961</v>
      </c>
    </row>
    <row r="43" ht="140" customHeight="1" spans="1:11">
      <c r="A43" s="5" t="s">
        <v>724</v>
      </c>
      <c r="B43" s="5" t="s">
        <v>107</v>
      </c>
      <c r="C43" s="5" t="s">
        <v>1085</v>
      </c>
      <c r="D43" s="5" t="s">
        <v>726</v>
      </c>
      <c r="E43" s="5" t="s">
        <v>1086</v>
      </c>
      <c r="F43" s="5" t="s">
        <v>1087</v>
      </c>
      <c r="G43" s="6"/>
      <c r="H43" s="5" t="s">
        <v>1088</v>
      </c>
      <c r="I43" s="5" t="s">
        <v>728</v>
      </c>
      <c r="J43" s="5" t="s">
        <v>1089</v>
      </c>
      <c r="K43" s="5" t="s">
        <v>951</v>
      </c>
    </row>
    <row r="44" ht="140" customHeight="1" spans="1:11">
      <c r="A44" s="3" t="s">
        <v>804</v>
      </c>
      <c r="B44" s="3" t="s">
        <v>389</v>
      </c>
      <c r="C44" s="3" t="s">
        <v>1090</v>
      </c>
      <c r="D44" s="3" t="s">
        <v>1091</v>
      </c>
      <c r="E44" s="3" t="s">
        <v>1092</v>
      </c>
      <c r="F44" s="3" t="s">
        <v>1093</v>
      </c>
      <c r="G44" s="4">
        <v>43.75</v>
      </c>
      <c r="H44" s="3" t="s">
        <v>1094</v>
      </c>
      <c r="I44" s="3" t="s">
        <v>1095</v>
      </c>
      <c r="J44" s="3" t="s">
        <v>1096</v>
      </c>
      <c r="K44" s="3" t="s">
        <v>933</v>
      </c>
    </row>
    <row r="45" ht="140" customHeight="1" spans="1:11">
      <c r="A45" s="5" t="s">
        <v>714</v>
      </c>
      <c r="B45" s="5" t="s">
        <v>120</v>
      </c>
      <c r="C45" s="5" t="s">
        <v>1097</v>
      </c>
      <c r="D45" s="5" t="s">
        <v>1098</v>
      </c>
      <c r="E45" s="5" t="s">
        <v>1099</v>
      </c>
      <c r="F45" s="5" t="s">
        <v>1100</v>
      </c>
      <c r="G45" s="6">
        <v>39.3439</v>
      </c>
      <c r="H45" s="5" t="s">
        <v>1101</v>
      </c>
      <c r="I45" s="5" t="s">
        <v>1102</v>
      </c>
      <c r="J45" s="5" t="s">
        <v>1103</v>
      </c>
      <c r="K45" s="5" t="s">
        <v>961</v>
      </c>
    </row>
    <row r="46" ht="140" customHeight="1" spans="1:11">
      <c r="A46" s="3" t="s">
        <v>809</v>
      </c>
      <c r="B46" s="3" t="s">
        <v>402</v>
      </c>
      <c r="C46" s="3" t="s">
        <v>1038</v>
      </c>
      <c r="D46" s="3" t="s">
        <v>1104</v>
      </c>
      <c r="E46" s="3" t="s">
        <v>1105</v>
      </c>
      <c r="F46" s="3" t="s">
        <v>1106</v>
      </c>
      <c r="G46" s="4">
        <v>18.552</v>
      </c>
      <c r="H46" s="3" t="s">
        <v>1107</v>
      </c>
      <c r="I46" s="3" t="s">
        <v>1108</v>
      </c>
      <c r="J46" s="3" t="s">
        <v>1109</v>
      </c>
      <c r="K46" s="3" t="s">
        <v>961</v>
      </c>
    </row>
    <row r="47" ht="140" customHeight="1" spans="1:11">
      <c r="A47" s="5" t="s">
        <v>856</v>
      </c>
      <c r="B47" s="5" t="s">
        <v>502</v>
      </c>
      <c r="C47" s="5" t="s">
        <v>1110</v>
      </c>
      <c r="D47" s="5" t="s">
        <v>1111</v>
      </c>
      <c r="E47" s="5" t="s">
        <v>1112</v>
      </c>
      <c r="F47" s="5" t="s">
        <v>1113</v>
      </c>
      <c r="G47" s="6">
        <v>11.6667</v>
      </c>
      <c r="H47" s="5" t="s">
        <v>1114</v>
      </c>
      <c r="I47" s="5" t="s">
        <v>1115</v>
      </c>
      <c r="J47" s="5" t="s">
        <v>1116</v>
      </c>
      <c r="K47" s="5" t="s">
        <v>933</v>
      </c>
    </row>
    <row r="48" ht="140" customHeight="1" spans="1:11">
      <c r="A48" s="3" t="s">
        <v>793</v>
      </c>
      <c r="B48" s="3" t="s">
        <v>312</v>
      </c>
      <c r="C48" s="3" t="s">
        <v>1117</v>
      </c>
      <c r="D48" s="3" t="s">
        <v>1118</v>
      </c>
      <c r="E48" s="3" t="s">
        <v>1119</v>
      </c>
      <c r="F48" s="3" t="s">
        <v>1120</v>
      </c>
      <c r="G48" s="4">
        <v>625</v>
      </c>
      <c r="H48" s="3" t="s">
        <v>1114</v>
      </c>
      <c r="I48" s="3" t="s">
        <v>1121</v>
      </c>
      <c r="J48" s="3" t="s">
        <v>1122</v>
      </c>
      <c r="K48" s="3" t="s">
        <v>933</v>
      </c>
    </row>
    <row r="49" ht="140" customHeight="1" spans="1:11">
      <c r="A49" s="5" t="s">
        <v>895</v>
      </c>
      <c r="B49" s="5" t="s">
        <v>515</v>
      </c>
      <c r="C49" s="5" t="s">
        <v>1123</v>
      </c>
      <c r="D49" s="5" t="s">
        <v>686</v>
      </c>
      <c r="E49" s="5" t="s">
        <v>1124</v>
      </c>
      <c r="F49" s="5" t="s">
        <v>1125</v>
      </c>
      <c r="G49" s="6"/>
      <c r="H49" s="5" t="s">
        <v>1126</v>
      </c>
      <c r="I49" s="5" t="s">
        <v>1127</v>
      </c>
      <c r="J49" s="5" t="s">
        <v>1128</v>
      </c>
      <c r="K49" s="5" t="s">
        <v>951</v>
      </c>
    </row>
    <row r="50" ht="140" customHeight="1" spans="1:11">
      <c r="A50" s="3" t="s">
        <v>684</v>
      </c>
      <c r="B50" s="3" t="s">
        <v>44</v>
      </c>
      <c r="C50" s="3" t="s">
        <v>1129</v>
      </c>
      <c r="D50" s="3" t="s">
        <v>686</v>
      </c>
      <c r="E50" s="3" t="s">
        <v>1130</v>
      </c>
      <c r="F50" s="3" t="s">
        <v>1131</v>
      </c>
      <c r="G50" s="4"/>
      <c r="H50" s="3" t="s">
        <v>1132</v>
      </c>
      <c r="I50" s="3" t="s">
        <v>689</v>
      </c>
      <c r="J50" s="3" t="s">
        <v>1133</v>
      </c>
      <c r="K50" s="3" t="s">
        <v>951</v>
      </c>
    </row>
    <row r="51" ht="140" customHeight="1" spans="1:11">
      <c r="A51" s="5" t="s">
        <v>880</v>
      </c>
      <c r="B51" s="5" t="s">
        <v>527</v>
      </c>
      <c r="C51" s="5" t="s">
        <v>982</v>
      </c>
      <c r="D51" s="5" t="s">
        <v>735</v>
      </c>
      <c r="E51" s="5" t="s">
        <v>1134</v>
      </c>
      <c r="F51" s="5" t="s">
        <v>1135</v>
      </c>
      <c r="G51" s="6"/>
      <c r="H51" s="5" t="s">
        <v>1136</v>
      </c>
      <c r="I51" s="5" t="s">
        <v>1137</v>
      </c>
      <c r="J51" s="5" t="s">
        <v>1138</v>
      </c>
      <c r="K51" s="5" t="s">
        <v>951</v>
      </c>
    </row>
    <row r="52" ht="140" customHeight="1" spans="1:11">
      <c r="A52" s="3" t="s">
        <v>900</v>
      </c>
      <c r="B52" s="3" t="s">
        <v>603</v>
      </c>
      <c r="C52" s="3" t="s">
        <v>1139</v>
      </c>
      <c r="D52" s="3" t="s">
        <v>686</v>
      </c>
      <c r="E52" s="3" t="s">
        <v>1140</v>
      </c>
      <c r="F52" s="3" t="s">
        <v>1141</v>
      </c>
      <c r="G52" s="4"/>
      <c r="H52" s="3" t="s">
        <v>1142</v>
      </c>
      <c r="I52" s="3" t="s">
        <v>1143</v>
      </c>
      <c r="J52" s="3" t="s">
        <v>1144</v>
      </c>
      <c r="K52" s="3" t="s">
        <v>951</v>
      </c>
    </row>
    <row r="53" ht="140" customHeight="1" spans="1:11">
      <c r="A53" s="5" t="s">
        <v>862</v>
      </c>
      <c r="B53" s="5" t="s">
        <v>539</v>
      </c>
      <c r="C53" s="5" t="s">
        <v>1145</v>
      </c>
      <c r="D53" s="5" t="s">
        <v>864</v>
      </c>
      <c r="E53" s="5" t="s">
        <v>1146</v>
      </c>
      <c r="F53" s="5" t="s">
        <v>1147</v>
      </c>
      <c r="G53" s="6"/>
      <c r="H53" s="5" t="s">
        <v>931</v>
      </c>
      <c r="I53" s="5" t="s">
        <v>867</v>
      </c>
      <c r="J53" s="5" t="s">
        <v>1148</v>
      </c>
      <c r="K53" s="5" t="s">
        <v>951</v>
      </c>
    </row>
    <row r="54" ht="140" customHeight="1" spans="1:11">
      <c r="A54" s="3" t="s">
        <v>798</v>
      </c>
      <c r="B54" s="3" t="s">
        <v>134</v>
      </c>
      <c r="C54" s="3" t="s">
        <v>1149</v>
      </c>
      <c r="D54" s="3" t="s">
        <v>686</v>
      </c>
      <c r="E54" s="3" t="s">
        <v>1150</v>
      </c>
      <c r="F54" s="3" t="s">
        <v>1151</v>
      </c>
      <c r="G54" s="4"/>
      <c r="H54" s="3" t="s">
        <v>1152</v>
      </c>
      <c r="I54" s="3" t="s">
        <v>1153</v>
      </c>
      <c r="J54" s="3" t="s">
        <v>1154</v>
      </c>
      <c r="K54" s="3" t="s">
        <v>951</v>
      </c>
    </row>
    <row r="55" ht="140" customHeight="1" spans="1:11">
      <c r="A55" s="5" t="s">
        <v>710</v>
      </c>
      <c r="B55" s="5" t="s">
        <v>148</v>
      </c>
      <c r="C55" s="5" t="s">
        <v>1155</v>
      </c>
      <c r="D55" s="5" t="s">
        <v>686</v>
      </c>
      <c r="E55" s="5" t="s">
        <v>1156</v>
      </c>
      <c r="F55" s="5" t="s">
        <v>1157</v>
      </c>
      <c r="G55" s="6"/>
      <c r="H55" s="5" t="s">
        <v>1158</v>
      </c>
      <c r="I55" s="5" t="s">
        <v>713</v>
      </c>
      <c r="J55" s="5" t="s">
        <v>1159</v>
      </c>
      <c r="K55" s="5" t="s">
        <v>951</v>
      </c>
    </row>
    <row r="56" ht="140" customHeight="1" spans="1:11">
      <c r="A56" s="3" t="s">
        <v>734</v>
      </c>
      <c r="B56" s="3" t="s">
        <v>250</v>
      </c>
      <c r="C56" s="3" t="s">
        <v>1023</v>
      </c>
      <c r="D56" s="3" t="s">
        <v>735</v>
      </c>
      <c r="E56" s="3" t="s">
        <v>1160</v>
      </c>
      <c r="F56" s="3" t="s">
        <v>1161</v>
      </c>
      <c r="G56" s="4"/>
      <c r="H56" s="3" t="s">
        <v>1162</v>
      </c>
      <c r="I56" s="3" t="s">
        <v>737</v>
      </c>
      <c r="J56" s="3" t="s">
        <v>1163</v>
      </c>
      <c r="K56" s="3" t="s">
        <v>951</v>
      </c>
    </row>
    <row r="57" ht="140" customHeight="1" spans="1:11">
      <c r="A57" s="5" t="s">
        <v>777</v>
      </c>
      <c r="B57" s="5" t="s">
        <v>300</v>
      </c>
      <c r="C57" s="5" t="s">
        <v>1164</v>
      </c>
      <c r="D57" s="5" t="s">
        <v>779</v>
      </c>
      <c r="E57" s="5" t="s">
        <v>1165</v>
      </c>
      <c r="F57" s="5" t="s">
        <v>1166</v>
      </c>
      <c r="G57" s="6"/>
      <c r="H57" s="5" t="s">
        <v>1167</v>
      </c>
      <c r="I57" s="5" t="s">
        <v>782</v>
      </c>
      <c r="J57" s="5" t="s">
        <v>1168</v>
      </c>
      <c r="K57" s="5" t="s">
        <v>951</v>
      </c>
    </row>
  </sheetData>
  <mergeCells count="1">
    <mergeCell ref="A1:K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题库底稿</vt:lpstr>
      <vt:lpstr>回报测算</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2026-10-15T16:56:36Z</dcterms:created>
  <dcterms:modified xsi:type="dcterms:W3CDTF">2026-10-15T17:33:31Z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AB1E2B4277683810399CD06ACD5C784D_43</vt:lpwstr>
  </property>
  <property fmtid="{D5CDD505-2E9C-101B-9397-08002B2CF9AE}" pid="3" name="KSOProductBuildVer">
    <vt:lpwstr>2052-12.1.28496.28496</vt:lpwstr>
  </property>
  <property fmtid="{D5CDD505-2E9C-101B-9397-08002B2CF9AE}" pid="4" name="CalculationRule">
    <vt:i4>0</vt:i4>
  </property>
</Properties>
</file>