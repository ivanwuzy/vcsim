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a6ecc7915c4ad0" /></Relationships>
</file>

<file path=xl/workbook.xml><?xml version="1.0" encoding="utf-8"?>
<x:workbook xmlns:x="http://schemas.openxmlformats.org/spreadsheetml/2006/main">
  <x:sheets>
    <x:sheet xmlns:r="http://schemas.openxmlformats.org/officeDocument/2006/relationships" name="题库底稿" sheetId="1" r:id="Rf55ad34d8cf0495f"/>
    <x:sheet xmlns:r="http://schemas.openxmlformats.org/officeDocument/2006/relationships" name="回报测算" sheetId="2" r:id="Ref5bf5e8a18841bb"/>
    <x:sheet xmlns:r="http://schemas.openxmlformats.org/officeDocument/2006/relationships" name="资料口径" sheetId="3" r:id="Rda4affc70f49437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0.00"/>
    <x:numFmt numFmtId="203" formatCode="0.00&quot;x&quot;"/>
    <x:numFmt numFmtId="204" formatCode="0.0%"/>
  </x:numFmts>
  <x:fonts count="7">
    <x:font>
      <x:sz val="11"/>
      <x:name val="Carlito"/>
    </x:font>
    <x:font>
      <x:sz val="11"/>
      <x:color rgb="FF172233"/>
      <x:name val="Arial"/>
    </x:font>
    <x:font>
      <x:b/>
      <x:sz val="11"/>
      <x:color rgb="FFFFFFFF"/>
      <x:name val="Arial"/>
    </x:font>
    <x:font>
      <x:sz val="11"/>
      <x:color rgb="FF526477"/>
      <x:name val="Arial"/>
    </x:font>
    <x:font>
      <x:b/>
      <x:sz val="15"/>
      <x:color rgb="FF203B57"/>
      <x:name val="Arial"/>
    </x:font>
    <x:font>
      <x:sz val="11"/>
      <x:color rgb="FF0000FF"/>
      <x:name val="Arial"/>
    </x:font>
    <x:font>
      <x:sz val="11"/>
      <x:color rgb="FF156082"/>
      <x:name val="Arial"/>
    </x:font>
  </x:fonts>
  <x:fills count="8">
    <x:fill>
      <x:patternFill patternType="none"/>
    </x:fill>
    <x:fill>
      <x:patternFill patternType="gray125"/>
    </x:fill>
    <x:fill>
      <x:patternFill patternType="solid">
        <x:fgColor rgb="FF203B57"/>
      </x:patternFill>
    </x:fill>
    <x:fill>
      <x:patternFill patternType="solid">
        <x:fgColor rgb="FFF0F4F8"/>
      </x:patternFill>
    </x:fill>
    <x:fill>
      <x:patternFill patternType="solid">
        <x:fgColor rgb="FFE7EFD8"/>
      </x:patternFill>
    </x:fill>
    <x:fill>
      <x:patternFill patternType="solid">
        <x:fgColor rgb="FFFFFFFF"/>
      </x:patternFill>
    </x:fill>
    <x:fill>
      <x:patternFill patternType="solid">
        <x:fgColor rgb="FFFFF2CF"/>
      </x:patternFill>
    </x:fill>
    <x:fill>
      <x:patternFill patternType="solid">
        <x:fgColor rgb="FFF4F7FA"/>
      </x:patternFill>
    </x:fill>
  </x:fills>
  <x:borders count="1">
    <x:border>
      <x:left/>
      <x:right/>
      <x:top/>
      <x:bottom/>
      <x:diagonal/>
    </x:border>
  </x:borders>
  <x:cellStyleXfs count="1">
    <x:xf numFmtId="0" fontId="0" fillId="0" borderId="0"/>
  </x:cellStyleXfs>
  <x:cellXfs count="5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horizontal="center" vertical="top" wrapText="1"/>
    </x:xf>
    <x:xf numFmtId="0" fontId="3" fillId="5"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1"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200" fontId="5" fillId="6" borderId="0" xfId="0" applyNumberFormat="1" applyFont="1" applyFill="1" applyBorder="1" applyAlignment="1">
      <x:alignment vertical="top" wrapText="1"/>
    </x:xf>
    <x:xf numFmtId="200" fontId="5" fillId="6" borderId="0" xfId="0" applyNumberFormat="1" applyFont="1" applyFill="1" applyBorder="1" applyAlignment="1">
      <x:alignment vertical="center" wrapText="1"/>
    </x:xf>
    <x:xf numFmtId="0" fontId="5" fillId="3"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2" fontId="5" fillId="7" borderId="0" xfId="0" applyNumberFormat="1" applyFont="1" applyFill="1" applyBorder="1" applyAlignment="1">
      <x:alignment vertical="top" wrapText="1"/>
    </x:xf>
    <x:xf numFmtId="203" fontId="5" fillId="7" borderId="0" xfId="0" applyNumberFormat="1" applyFont="1" applyFill="1" applyBorder="1" applyAlignment="1">
      <x:alignment vertical="top" wrapText="1"/>
    </x:xf>
    <x:xf numFmtId="204" fontId="5" fillId="7"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3" fontId="1" fillId="5"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xf numFmtId="204" fontId="1" fillId="5"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2" fontId="5" fillId="7" borderId="0" xfId="0" applyNumberFormat="1" applyFont="1" applyFill="1" applyBorder="1" applyAlignment="1">
      <x:alignment horizontal="right" vertical="top" wrapText="1"/>
    </x:xf>
    <x:xf numFmtId="203" fontId="5" fillId="7" borderId="0" xfId="0" applyNumberFormat="1" applyFont="1" applyFill="1" applyBorder="1" applyAlignment="1">
      <x:alignment horizontal="right" vertical="top" wrapText="1"/>
    </x:xf>
    <x:xf numFmtId="204" fontId="5" fillId="7" borderId="0" xfId="0" applyNumberFormat="1" applyFont="1" applyFill="1" applyBorder="1" applyAlignment="1">
      <x:alignment horizontal="right" vertical="top" wrapText="1"/>
    </x:xf>
    <x:xf numFmtId="203" fontId="1" fillId="3" borderId="0" xfId="0" applyNumberFormat="1" applyFont="1" applyFill="1" applyBorder="1" applyAlignment="1">
      <x:alignment horizontal="right" vertical="top" wrapText="1"/>
    </x:xf>
    <x:xf numFmtId="204" fontId="1" fillId="3"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203" fontId="1" fillId="5" borderId="0" xfId="0" applyNumberFormat="1" applyFont="1" applyFill="1" applyBorder="1" applyAlignment="1">
      <x:alignment horizontal="right" vertical="top" wrapText="1"/>
    </x:xf>
    <x:xf numFmtId="204" fontId="1" fillId="5" borderId="0" xfId="0" applyNumberFormat="1" applyFont="1" applyFill="1" applyBorder="1" applyAlignment="1">
      <x:alignment horizontal="right" vertical="top" wrapText="1"/>
    </x:xf>
    <x:xf numFmtId="200" fontId="1" fillId="5" borderId="0" xfId="0" applyNumberFormat="1" applyFont="1" applyFill="1" applyBorder="1" applyAlignment="1">
      <x:alignment horizontal="right" vertical="top" wrapText="1"/>
    </x:xf>
    <x:xf numFmtId="202" fontId="5" fillId="7" borderId="0" xfId="0" applyNumberFormat="1" applyFont="1" applyFill="1" applyBorder="1" applyAlignment="1">
      <x:alignment horizontal="right" vertical="center" wrapText="1"/>
    </x:xf>
    <x:xf numFmtId="203" fontId="5" fillId="7" borderId="0" xfId="0" applyNumberFormat="1" applyFont="1" applyFill="1" applyBorder="1" applyAlignment="1">
      <x:alignment horizontal="right" vertical="center" wrapText="1"/>
    </x:xf>
    <x:xf numFmtId="204" fontId="5" fillId="7" borderId="0" xfId="0" applyNumberFormat="1" applyFont="1" applyFill="1" applyBorder="1" applyAlignment="1">
      <x:alignment horizontal="right" vertical="center" wrapText="1"/>
    </x:xf>
    <x:xf numFmtId="203" fontId="1" fillId="3" borderId="0" xfId="0" applyNumberFormat="1" applyFont="1" applyFill="1" applyBorder="1" applyAlignment="1">
      <x:alignment horizontal="right" vertical="center" wrapText="1"/>
    </x:xf>
    <x:xf numFmtId="204" fontId="1" fillId="3"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xf numFmtId="203" fontId="1" fillId="5" borderId="0" xfId="0" applyNumberFormat="1" applyFont="1" applyFill="1" applyBorder="1" applyAlignment="1">
      <x:alignment horizontal="right" vertical="center" wrapText="1"/>
    </x:xf>
    <x:xf numFmtId="204" fontId="1" fillId="5" borderId="0" xfId="0" applyNumberFormat="1" applyFont="1" applyFill="1" applyBorder="1" applyAlignment="1">
      <x:alignment horizontal="right" vertical="center" wrapText="1"/>
    </x:xf>
    <x:xf numFmtId="200" fontId="1" fillId="5" borderId="0" xfId="0" applyNumberFormat="1" applyFont="1" applyFill="1" applyBorder="1" applyAlignment="1">
      <x:alignment horizontal="right" vertical="center" wrapText="1"/>
    </x:xf>
    <x:xf numFmtId="203" fontId="1"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5" borderId="0" xfId="0" applyNumberFormat="1" applyFont="1" applyFill="1" applyBorder="1" applyAlignment="1">
      <x:alignment vertical="top" wrapText="1"/>
    </x:xf>
  </x:cellXfs>
  <x:cellStyles count="1">
    <x:cellStyle name="Normal" xfId="0"/>
  </x:cellStyles>
  <x:dxfs count="2">
    <x:dxf>
      <x:font>
        <x:color rgb="FF9C3024"/>
      </x:font>
      <x:fill>
        <x:patternFill patternType="solid">
          <x:bgColor rgb="FFFBE9E7"/>
        </x:patternFill>
      </x:fill>
    </x:dxf>
    <x:dxf>
      <x:fill>
        <x:patternFill patternType="solid">
          <x:bgColor rgb="FFE7F1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3df170ff09462c" /><Relationship Type="http://schemas.openxmlformats.org/officeDocument/2006/relationships/theme" Target="/xl/theme/theme1.xml" Id="R76f2b48378e84e7b" /><Relationship Type="http://schemas.openxmlformats.org/officeDocument/2006/relationships/sharedStrings" Target="/xl/sharedStrings.xml" Id="Rf776b750013742f7" /><Relationship Type="http://schemas.openxmlformats.org/officeDocument/2006/relationships/worksheet" Target="/xl/worksheets/sheet1.xml" Id="Rf55ad34d8cf0495f" /><Relationship Type="http://schemas.openxmlformats.org/officeDocument/2006/relationships/worksheet" Target="/xl/worksheets/sheet2.xml" Id="Ref5bf5e8a18841bb" /><Relationship Type="http://schemas.openxmlformats.org/officeDocument/2006/relationships/worksheet" Target="/xl/worksheets/sheet3.xml" Id="Rda4affc70f49437a" /></Relationships>
</file>

<file path=xl/tables/table1.xml><?xml version="1.0" encoding="utf-8"?>
<x:table xmlns:x="http://schemas.openxmlformats.org/spreadsheetml/2006/main" id="1" name="QuestionBank" displayName="QuestionBank" ref="A1:P51" headerRowCount="1" totalsRowCount="0" totalsRowShown="0">
  <x:tableColumns count="16">
    <x:tableColumn id="1" name="项目原型简称"/>
    <x:tableColumn id="2" name="游戏内项目代称"/>
    <x:tableColumn id="3" name="所在领域"/>
    <x:tableColumn id="4" name="标记"/>
    <x:tableColumn id="5" name="一句话定位"/>
    <x:tableColumn id="6" name="首轮融资年份"/>
    <x:tableColumn id="7" name="真实团队原型故事"/>
    <x:tableColumn id="8" name="游戏内团队一句话介绍"/>
    <x:tableColumn id="9" name="真实团队技术故事"/>
    <x:tableColumn id="10" name="游戏内技术亮点一句话介绍"/>
    <x:tableColumn id="11" name="真实团队商业化故事"/>
    <x:tableColumn id="12" name="游戏内一句话商业化亮点"/>
    <x:tableColumn id="13" name="项目风险点"/>
    <x:tableColumn id="14" name="首轮融资信息"/>
    <x:tableColumn id="15" name="截至当前累计融资信息"/>
    <x:tableColumn id="16" name="游戏内投资回报"/>
  </x:tableColumns>
  <x:tableStyleInfo name="TableStyleMedium2" showFirstColumn="0" showLastColumn="0" showRowStripes="1" showColumnStripes="0"/>
</x:table>
</file>

<file path=xl/tables/table2.xml><?xml version="1.0" encoding="utf-8"?>
<x:table xmlns:x="http://schemas.openxmlformats.org/spreadsheetml/2006/main" id="2" name="ReturnModel" displayName="ReturnModel" ref="A6:R56" headerRowCount="1" totalsRowCount="0" totalsRowShown="0">
  <x:tableColumns count="18">
    <x:tableColumn id="1" name="案例ID"/>
    <x:tableColumn id="2" name="项目原型"/>
    <x:tableColumn id="3" name="游戏进入年"/>
    <x:tableColumn id="4" name="进入轮次／阶段"/>
    <x:tableColumn id="5" name="回报口径"/>
    <x:tableColumn id="6" name="估值单位"/>
    <x:tableColumn id="7" name="进入估值／指数"/>
    <x:tableColumn id="8" name="终点估值／指数"/>
    <x:tableColumn id="9" name="人工指定倍率"/>
    <x:tableColumn id="10" name="持股保留系数"/>
    <x:tableColumn id="11" name="结算倍数"/>
    <x:tableColumn id="12" name="净收益率"/>
    <x:tableColumn id="13" name="单题投资（万元人民币）"/>
    <x:tableColumn id="14" name="模拟回收（万元人民币）"/>
    <x:tableColumn id="15" name="模拟净收益（万元人民币）"/>
    <x:tableColumn id="16" name="终点日期／口径"/>
    <x:tableColumn id="17" name="真实阶段判断"/>
    <x:tableColumn id="18" name="回报设定依据"/>
  </x:tableColumns>
  <x:tableStyleInfo name="TableStyleMedium2" showFirstColumn="0" showLastColumn="0" showRowStripes="1" showColumnStripes="0"/>
</x:table>
</file>

<file path=xl/tables/table3.xml><?xml version="1.0" encoding="utf-8"?>
<x:table xmlns:x="http://schemas.openxmlformats.org/spreadsheetml/2006/main" id="3" name="CaseSources" displayName="CaseSources" ref="A7:K57" headerRowCount="1" totalsRowCount="0" totalsRowShown="0">
  <x:tableColumns count="11">
    <x:tableColumn id="1" name="案例ID"/>
    <x:tableColumn id="2" name="项目原型／法律主体"/>
    <x:tableColumn id="3" name="v2参考行"/>
    <x:tableColumn id="4" name="卡片进入时点"/>
    <x:tableColumn id="5" name="复盘商业故事"/>
    <x:tableColumn id="6" name="走势与阶段判断"/>
    <x:tableColumn id="7" name="回报事实／假设边界"/>
    <x:tableColumn id="8" name="卡片与历史信息边界"/>
    <x:tableColumn id="9" name="资料范围与核验状态"/>
    <x:tableColumn id="10" name="来源链接"/>
    <x:tableColumn id="11" name="v3修订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1beee2af1a4a74" /></Relationships>
</file>

<file path=xl/worksheets/_rels/sheet2.xml.rels>&#65279;<?xml version="1.0" encoding="utf-8"?><Relationships xmlns="http://schemas.openxmlformats.org/package/2006/relationships"><Relationship Type="http://schemas.openxmlformats.org/officeDocument/2006/relationships/table" Target="/xl/tables/table2.xml" Id="Rbbf2aa7f8f134db9" /></Relationships>
</file>

<file path=xl/worksheets/_rels/sheet3.xml.rels>&#65279;<?xml version="1.0" encoding="utf-8"?><Relationships xmlns="http://schemas.openxmlformats.org/package/2006/relationships"><Relationship Type="http://schemas.openxmlformats.org/officeDocument/2006/relationships/table" Target="/xl/tables/table3.xml" Id="R984b6a02581e4647" /></Relationships>
</file>

<file path=xl/worksheets/sheet1.xml><?xml version="1.0" encoding="utf-8"?>
<x:worksheet xmlns:x="http://schemas.openxmlformats.org/spreadsheetml/2006/main">
  <x:sheetPr>
    <x:tabColor rgb="FF203B57"/>
  </x:sheetPr>
  <x:sheetViews>
    <x:sheetView showGridLines="0" workbookViewId="0">
      <x:pane xSplit="2" ySplit="1" topLeftCell="C2" activePane="bottomRight" state="frozen"/>
    </x:sheetView>
  </x:sheetViews>
  <x:sheetFormatPr defaultRowHeight="15"/>
  <x:cols>
    <x:col min="1" max="1" width="23" hidden="0" customWidth="1"/>
    <x:col min="2" max="2" width="19" hidden="0" customWidth="1"/>
    <x:col min="3" max="3" width="23" hidden="0" customWidth="1"/>
    <x:col min="4" max="4" width="24" hidden="0" customWidth="1"/>
    <x:col min="5" max="5" width="34" hidden="0" customWidth="1"/>
    <x:col min="6" max="6" width="21" hidden="0" customWidth="1"/>
    <x:col min="7" max="7" width="50" hidden="0" customWidth="1"/>
    <x:col min="8" max="8" width="40" hidden="0" customWidth="1"/>
    <x:col min="9" max="9" width="50" hidden="0" customWidth="1"/>
    <x:col min="10" max="10" width="40" hidden="0" customWidth="1"/>
    <x:col min="11" max="11" width="53" hidden="0" customWidth="1"/>
    <x:col min="12" max="12" width="40" hidden="0" customWidth="1"/>
    <x:col min="13" max="13" width="42" hidden="0" customWidth="1"/>
    <x:col min="14" max="14" width="47" hidden="0" customWidth="1"/>
    <x:col min="15" max="15" width="56" hidden="0" customWidth="1"/>
    <x:col min="16" max="16" width="49" hidden="0" customWidth="1"/>
  </x:cols>
  <x:sheetData>
    <x:row r="1" ht="48" customHeight="1">
      <x:c r="A1" s="7" t="str">
        <x:v>项目原型简称</x:v>
      </x:c>
      <x:c r="B1" s="7" t="str">
        <x:v>游戏内项目代称</x:v>
      </x:c>
      <x:c r="C1" s="7" t="str">
        <x:v>所在领域</x:v>
      </x:c>
      <x:c r="D1" s="7" t="str">
        <x:v>标记</x:v>
      </x:c>
      <x:c r="E1" s="7" t="str">
        <x:v>一句话定位</x:v>
      </x:c>
      <x:c r="F1" s="7" t="str">
        <x:v>首轮融资年份</x:v>
      </x:c>
      <x:c r="G1" s="7" t="str">
        <x:v>真实团队原型故事</x:v>
      </x:c>
      <x:c r="H1" s="7" t="str">
        <x:v>游戏内团队一句话介绍</x:v>
      </x:c>
      <x:c r="I1" s="7" t="str">
        <x:v>真实团队技术故事</x:v>
      </x:c>
      <x:c r="J1" s="7" t="str">
        <x:v>游戏内技术亮点一句话介绍</x:v>
      </x:c>
      <x:c r="K1" s="7" t="str">
        <x:v>真实团队商业化故事</x:v>
      </x:c>
      <x:c r="L1" s="7" t="str">
        <x:v>游戏内一句话商业化亮点</x:v>
      </x:c>
      <x:c r="M1" s="7" t="str">
        <x:v>项目风险点</x:v>
      </x:c>
      <x:c r="N1" s="7" t="str">
        <x:v>首轮融资信息</x:v>
      </x:c>
      <x:c r="O1" s="7" t="str">
        <x:v>截至当前累计融资信息</x:v>
      </x:c>
      <x:c r="P1" s="7" t="str">
        <x:v>游戏内投资回报</x:v>
      </x:c>
    </x:row>
    <x:row r="2" ht="78" customHeight="1">
      <x:c r="A2" s="9" t="str">
        <x:v>宇树科技</x:v>
      </x:c>
      <x:c r="B2" s="9" t="str">
        <x:v>野行科技</x:v>
      </x:c>
      <x:c r="C2" s="9" t="str">
        <x:v>具身本体与模型</x:v>
      </x:c>
      <x:c r="D2" s="11" t="str">
        <x:v>人工确认案例</x:v>
      </x:c>
      <x:c r="E2" s="9" t="str">
        <x:v>把原本昂贵的四足机器人，做成开发者买得起的平台。</x:v>
      </x:c>
      <x:c r="F2" s="10" t="str">
        <x:v>2016</x:v>
      </x:c>
      <x:c r="G2" s="9" t="str">
        <x:v>王兴兴从浙江理工大学本科、上海大学机械硕士阶段积累机电与四足控制经验。学生时期自制电驱四足原型，2016年创办宇树，以小团队做可出售的整机。</x:v>
      </x:c>
      <x:c r="H2" s="9" t="str">
        <x:v>创始人普通理工本科，211机械硕士，但学生时代就是技术极客，是极早期做出过能跑的四足机器人的钻研型团队。</x:v>
      </x:c>
      <x:c r="I2" s="9" t="str">
        <x:v>早期选择电驱四足路线，自研电机、驱动和控制系统，持续压低机电成本。后续由四足研发平台扩展到人形本体，控制与量产工程相互迭代。</x:v>
      </x:c>
      <x:c r="J2" s="9" t="str">
        <x:v>电驱动路线行业探索者，把电机、驱动和运动控制一起优化，尝试降低机器人的整机成本。</x:v>
      </x:c>
      <x:c r="K2" s="9" t="str">
        <x:v>先通过高校、科研与开发者市场销售四足机器人，再扩大海外销售和行业应用，后续人形产品带来更广关注。产品、营收和资本估值是不同证据。</x:v>
      </x:c>
      <x:c r="L2" s="9" t="str">
        <x:v>计划先向高校和机器人开发者销售，让想研究机器人、却造不起整机的人有个平台可用。</x:v>
      </x:c>
      <x:c r="M2" s="9" t="str">
        <x:v>科研和开发者市场可能太小；产品演示效果和海外液压路线差距明显</x:v>
      </x:c>
      <x:c r="N2" s="12" t="str">
        <x:v>2016年早期投资。原表录入融资额200万元，投资人与交易条件未补证；该金额不是投后估值。</x:v>
      </x:c>
      <x:c r="O2" s="12" t="str">
        <x:v>原表累计融资20亿元属于旧口径，日期与去重范围未明确。新融资节点见研究资料，不以融资总额反推估值。</x:v>
      </x:c>
      <x:c r="P2" s="9" t="str">
        <x:f>"人工指定倍率。"&amp;TEXT('回报测算'!K7,"0.00")&amp;"倍，净收益率"&amp;TEXT('回报测算'!L7,"0.0%")&amp;"。计算输入及假设见回报测算；不代表已实现现金退出。"</x:f>
        <x:v>人工指定倍率。1035.00倍，净收益率103400.0%。计算输入及假设见回报测算；不代表已实现现金退出。</x:v>
      </x:c>
    </x:row>
    <x:row r="3" ht="78" customHeight="1">
      <x:c r="A3" s="13" t="str">
        <x:v>智元机器人</x:v>
      </x:c>
      <x:c r="B3" s="13" t="str">
        <x:v>行知机器人</x:v>
      </x:c>
      <x:c r="C3" s="13" t="str">
        <x:v>具身本体与模型</x:v>
      </x:c>
      <x:c r="D3" s="13" t="str">
        <x:v>正式题库（v3撰写）</x:v>
      </x:c>
      <x:c r="E3" s="13" t="str">
        <x:v>把人形样机做成能制造、能训练的机器人平台。</x:v>
      </x:c>
      <x:c r="F3" s="14" t="n">
        <x:v>2023</x:v>
      </x:c>
      <x:c r="G3" s="13" t="str">
        <x:v>邓泰华具有华为产业管理经历，彭志辉具有电子工程与华为研发背景，2023年联合创办智元。组织同时吸纳机器人、算法和制造团队。</x:v>
      </x:c>
      <x:c r="H3" s="13" t="str">
        <x:v>大型科技企业的产业管理人员与长期钻研机电产品的工程师联合创业。</x:v>
      </x:c>
      <x:c r="I3" s="13" t="str">
        <x:v>从关节及人形本体扩展到移动操作、数据采集和具身模型平台。全栈研发有利于联调，也增加工程和产品组合管理成本。</x:v>
      </x:c>
      <x:c r="J3" s="13" t="str">
        <x:v>关节、整机控制和软件协同设计，缩短样机迭代周期。</x:v>
      </x:c>
      <x:c r="K3" s="13" t="str">
        <x:v>早期依托产业伙伴开展工厂与商业场景试点，后续推出多类平台并扩大交付。交付台数不能直接代表持续任务收入或投资退出。</x:v>
      </x:c>
      <x:c r="L3" s="13" t="str">
        <x:v>从科研平台与工厂试点切入，由产业伙伴提供场景和制造资源。</x:v>
      </x:c>
      <x:c r="M3" s="13" t="str">
        <x:v>同时推进本体和软件，量产投入能否匹配可付费任务？</x:v>
      </x:c>
      <x:c r="N3" s="15" t="str">
        <x:v>2023年早期融资，金额与投后估值未在本轮材料中核实。</x:v>
      </x:c>
      <x:c r="O3" s="15" t="str">
        <x:v>已获多轮产业及财务投资；原表16亿元是旧累计口径，未统一核验截至2026-10-14的可去重总额。</x:v>
      </x:c>
      <x:c r="P3" s="13" t="str">
        <x:f>"教学估值情景。"&amp;TEXT('回报测算'!K8,"0.00")&amp;"倍，净收益率"&amp;TEXT('回报测算'!L8,"0.0%")&amp;"。计算输入及假设见回报测算；不代表已实现现金退出。"</x:f>
        <x:v>教学估值情景。6.00倍，净收益率500.0%。计算输入及假设见回报测算；不代表已实现现金退出。</x:v>
      </x:c>
    </x:row>
    <x:row r="4" ht="78" customHeight="1">
      <x:c r="A4" s="9" t="str">
        <x:v>星动纪元</x:v>
      </x:c>
      <x:c r="B4" s="9" t="str">
        <x:v>衡步机器人</x:v>
      </x:c>
      <x:c r="C4" s="9" t="str">
        <x:v>具身本体与模型</x:v>
      </x:c>
      <x:c r="D4" s="9" t="str">
        <x:v>正式题库（v3撰写）</x:v>
      </x:c>
      <x:c r="E4" s="9" t="str">
        <x:v>让人形机器人在走动和操作时保持稳定。</x:v>
      </x:c>
      <x:c r="F4" s="10" t="n">
        <x:v>2023</x:v>
      </x:c>
      <x:c r="G4" s="9" t="str">
        <x:v>陈建宇来自清华交叉信息研究院机器人学习与控制研究体系。2023年创办星动纪元，团队同时建设算法、关节与整机工程能力。</x:v>
      </x:c>
      <x:c r="H4" s="9" t="str">
        <x:v>机器人学习研究者与关节、控制工程人员合作，把实验室策略装进自研本体。</x:v>
      </x:c>
      <x:c r="I4" s="9" t="str">
        <x:v>采用强化学习和运动控制协同路线，研发人形本体、关节与灵巧操作系统。视频中的动态动作仅证明特定条件下的能力。</x:v>
      </x:c>
      <x:c r="J4" s="9" t="str">
        <x:v>用学习控制与关节设计共同提高运动稳定性。</x:v>
      </x:c>
      <x:c r="K4" s="9" t="str">
        <x:v>研发平台与产业试点为起步入口，后续融资支持硬件、数据与任务验证。商业评价仍需要任务节拍、维护成本和复购。</x:v>
      </x:c>
      <x:c r="L4" s="9" t="str">
        <x:v>先提供科研平台，和场景伙伴验证搬运等任务。</x:v>
      </x:c>
      <x:c r="M4" s="9" t="str">
        <x:v>动态演示能否转化为长时间运行和可接受的故障率？</x:v>
      </x:c>
      <x:c r="N4" s="12" t="str">
        <x:v>种子轮于2023年下半年至2024年初公开披露，数千万元；本游戏取2023年进入，具体交割月未核。</x:v>
      </x:c>
      <x:c r="O4" s="12" t="str">
        <x:v>2024年天使超1亿元、Pre-A近3亿元；2026年战略融资10亿元及后续超2亿美元节点。不同币种不简单相加，累计总额未核。</x:v>
      </x:c>
      <x:c r="P4" s="9" t="str">
        <x:f>"教学估值情景。"&amp;TEXT('回报测算'!K9,"0.00")&amp;"倍，净收益率"&amp;TEXT('回报测算'!L9,"0.0%")&amp;"。计算输入及假设见回报测算；不代表已实现现金退出。"</x:f>
        <x:v>教学估值情景。8.00倍，净收益率700.0%。计算输入及假设见回报测算；不代表已实现现金退出。</x:v>
      </x:c>
    </x:row>
    <x:row r="5" ht="78" customHeight="1">
      <x:c r="A5" s="13" t="str">
        <x:v>千寻智能</x:v>
      </x:c>
      <x:c r="B5" s="13" t="str">
        <x:v>通序智能</x:v>
      </x:c>
      <x:c r="C5" s="13" t="str">
        <x:v>具身本体与模型</x:v>
      </x:c>
      <x:c r="D5" s="13" t="str">
        <x:v>正式题库（v3撰写）</x:v>
      </x:c>
      <x:c r="E5" s="13" t="str">
        <x:v>把机器人学会的操作迁移到更多工位。</x:v>
      </x:c>
      <x:c r="F5" s="14" t="n">
        <x:v>2024</x:v>
      </x:c>
      <x:c r="G5" s="13" t="str">
        <x:v>韩峰涛具备工业机器人创业经验，高阳来自清华及强化学习研究体系。2024年创办千寻，希望连接操作模型与工业机器人产品化。</x:v>
      </x:c>
      <x:c r="H5" s="13" t="str">
        <x:v>工业机器人创业者与强化学习研究者联合，兼顾工厂节拍和学习算法。</x:v>
      </x:c>
      <x:c r="I5" s="13" t="str">
        <x:v>探索多任务操作模型、真机数据采集和本体协同。跨场景复用要由实际任务成功率、数据量及生产节拍共同验证。</x:v>
      </x:c>
      <x:c r="J5" s="13" t="str">
        <x:v>把动作数据、学习模型和机器人控制放在同一套训练流程里。</x:v>
      </x:c>
      <x:c r="K5" s="13" t="str">
        <x:v>从工业操作验证和场景合作开始，后续融资扩大数据与工程投入。工位试点不等于已形成标准化的大规模收入。</x:v>
      </x:c>
      <x:c r="L5" s="13" t="str">
        <x:v>先与工业伙伴做重复操作任务，验证换物品和换工位的适应能力。</x:v>
      </x:c>
      <x:c r="M5" s="13" t="str">
        <x:v>每个新任务若仍需大量采集数据，模型能否形成规模优势？</x:v>
      </x:c>
      <x:c r="N5" s="15" t="str">
        <x:v>2024年种子和天使融资合计近2亿元，为两个阶段合计，不能写成单笔首轮或投后估值。</x:v>
      </x:c>
      <x:c r="O5" s="15" t="str">
        <x:v>2025年Pre-A5.28亿元及Pre-A+近6亿元；2026年近20亿元及10亿元等融资节点。未统一去重形成累计总额。</x:v>
      </x:c>
      <x:c r="P5" s="13" t="str">
        <x:f>"教学估值情景。"&amp;TEXT('回报测算'!K10,"0.00")&amp;"倍，净收益率"&amp;TEXT('回报测算'!L10,"0.0%")&amp;"。计算输入及假设见回报测算；不代表已实现现金退出。"</x:f>
        <x:v>教学估值情景。8.00倍，净收益率700.0%。计算输入及假设见回报测算；不代表已实现现金退出。</x:v>
      </x:c>
    </x:row>
    <x:row r="6" ht="78" customHeight="1">
      <x:c r="A6" s="9" t="str">
        <x:v>优必选</x:v>
      </x:c>
      <x:c r="B6" s="9" t="str">
        <x:v>启行机器人</x:v>
      </x:c>
      <x:c r="C6" s="9" t="str">
        <x:v>具身本体与模型</x:v>
      </x:c>
      <x:c r="D6" s="9" t="str">
        <x:v>正式题库（v3撰写）</x:v>
      </x:c>
      <x:c r="E6" s="9" t="str">
        <x:v>把小型人形机器人的关节和动作做成产品。</x:v>
      </x:c>
      <x:c r="F6" s="10" t="n">
        <x:v>2013</x:v>
      </x:c>
      <x:c r="G6" s="9" t="str">
        <x:v>周剑具有工业设备创业经历，早期长期投入伺服系统，2012年成立优必选。团队由关节工程延伸到小型人形产品及行业方案。</x:v>
      </x:c>
      <x:c r="H6" s="9" t="str">
        <x:v>工业设备创业者长期投入伺服驱动研发，团队兼顾机电工程和产品设计。</x:v>
      </x:c>
      <x:c r="I6" s="9" t="str">
        <x:v>先积累伺服驱动、运动控制和机器人产品，再拓展大型人形与工业任务。不同尺寸的机构与安全要求并不自动通用。</x:v>
      </x:c>
      <x:c r="J6" s="9" t="str">
        <x:v>自研小型伺服关节，组合成可编程的人形平台。</x:v>
      </x:c>
      <x:c r="K6" s="9" t="str">
        <x:v>教育和消费机器人形成早期产品入口，随后拓展服务及工业人形场景，2023年在香港上市。上市、订单、盈利和各轮投资回报须分别判断。</x:v>
      </x:c>
      <x:c r="L6" s="9" t="str">
        <x:v>从教育、开发者和展示需求起步，建立可销售的标准产品。</x:v>
      </x:c>
      <x:c r="M6" s="9" t="str">
        <x:v>教育产品的收入能否支持更大尺寸机器人的长期研发？</x:v>
      </x:c>
      <x:c r="N6" s="12" t="str">
        <x:v>首轮外部融资具体日期、金额和估值未核；游戏取2013年早期阶段，非已证实交易日期。</x:v>
      </x:c>
      <x:c r="O6" s="12" t="str">
        <x:v>已完成多轮私募并于2023年港股上市；累计私募金额未核实，上市市值不等于累计融资。</x:v>
      </x:c>
      <x:c r="P6" s="9" t="str">
        <x:f>"教学估值情景。"&amp;TEXT('回报测算'!K11,"0.00")&amp;"倍，净收益率"&amp;TEXT('回报测算'!L11,"0.0%")&amp;"。计算输入及假设见回报测算；不代表已实现现金退出。"</x:f>
        <x:v>教学估值情景。6.00倍，净收益率500.0%。计算输入及假设见回报测算；不代表已实现现金退出。</x:v>
      </x:c>
    </x:row>
    <x:row r="7" ht="78" customHeight="1">
      <x:c r="A7" s="13" t="str">
        <x:v>极佳视界</x:v>
      </x:c>
      <x:c r="B7" s="13" t="str">
        <x:v>景行智能</x:v>
      </x:c>
      <x:c r="C7" s="13" t="str">
        <x:v>具身本体与模型</x:v>
      </x:c>
      <x:c r="D7" s="13" t="str">
        <x:v>正式题库（v3撰写）</x:v>
      </x:c>
      <x:c r="E7" s="13" t="str">
        <x:v>让机器从视频里学会预测动作后的变化。</x:v>
      </x:c>
      <x:c r="F7" s="14" t="n">
        <x:v>2024</x:v>
      </x:c>
      <x:c r="G7" s="13" t="str">
        <x:v>黄冠具有微软、三星等视觉与AI研发经历，2023年创办极佳视界。早期从空间智能切入，后续向世界模型、具身模型与本体协同扩展。</x:v>
      </x:c>
      <x:c r="H7" s="13" t="str">
        <x:v>有大型科技企业视觉研发经验的团队，把空间理解研究转向机器人。</x:v>
      </x:c>
      <x:c r="I7" s="13" t="str">
        <x:v>以视频和交互数据构建世界模型，研究动作后的场景变化，再与策略和真机反馈闭环结合。画面质量与闭环控制效果是两项指标。</x:v>
      </x:c>
      <x:c r="J7" s="13" t="str">
        <x:v>以视频学习场景变化，为机器人动作提供可预测的环境表征。</x:v>
      </x:c>
      <x:c r="K7" s="13" t="str">
        <x:v>早期面向空间智能及机器人合作验证，后续投入数据、模型与硬件工程。模型演示与付费交付、客户重复使用仍需分开核验。</x:v>
      </x:c>
      <x:c r="L7" s="13" t="str">
        <x:v>先与机器人开发团队合作，验证模型是否减少场景数据采集。</x:v>
      </x:c>
      <x:c r="M7" s="13" t="str">
        <x:v>生成画面像真的，是否就能支持可靠的动作决策？</x:v>
      </x:c>
      <x:c r="N7" s="15" t="str">
        <x:v>2024年两轮天使融资合计近5000万元，不是单笔首轮金额；首轮估值未披露。</x:v>
      </x:c>
      <x:c r="O7" s="15" t="str">
        <x:v>2026年Pre-B近10亿元、B1约15亿元等节点，媒体百亿估值口径需交易文件支持；累计融资未统一去重。</x:v>
      </x:c>
      <x:c r="P7" s="13" t="str">
        <x:f>"教学估值情景。"&amp;TEXT('回报测算'!K12,"0.00")&amp;"倍，净收益率"&amp;TEXT('回报测算'!L12,"0.0%")&amp;"。计算输入及假设见回报测算；不代表已实现现金退出。"</x:f>
        <x:v>教学估值情景。6.00倍，净收益率500.0%。计算输入及假设见回报测算；不代表已实现现金退出。</x:v>
      </x:c>
    </x:row>
    <x:row r="8" ht="78" customHeight="1">
      <x:c r="A8" s="9" t="str">
        <x:v>灵初智能</x:v>
      </x:c>
      <x:c r="B8" s="9" t="str">
        <x:v>巧序智能</x:v>
      </x:c>
      <x:c r="C8" s="9" t="str">
        <x:v>具身本体与模型</x:v>
      </x:c>
      <x:c r="D8" s="9" t="str">
        <x:v>正式题库（v3撰写）</x:v>
      </x:c>
      <x:c r="E8" s="9" t="str">
        <x:v>让机器人学会处理需要手指配合的操作。</x:v>
      </x:c>
      <x:c r="F8" s="10" t="n">
        <x:v>2024</x:v>
      </x:c>
      <x:c r="G8" s="9" t="str">
        <x:v>2024年设立的灵初智能由王启斌与柴晓杰、杨耀东、陈源培等研究及工程团队组成。创始人与同名或相近品牌区分，不沿用未核实的个人履历。</x:v>
      </x:c>
      <x:c r="H8" s="9" t="str">
        <x:v>机器人操作与强化学习研究者共同创业，围绕手部动作建立实验和工程团队。</x:v>
      </x:c>
      <x:c r="I8" s="9" t="str">
        <x:v>围绕灵巧操作、数据采集、强化学习和真机系统迭代，尝试提升复杂接触任务的泛化能力。演示任务不能代表全天候生产能力。</x:v>
      </x:c>
      <x:c r="J8" s="9" t="str">
        <x:v>把灵巧操作数据、学习策略与执行机构一起迭代。</x:v>
      </x:c>
      <x:c r="K8" s="9" t="str">
        <x:v>先以研发合作与具体操作任务验证产品，后续融资支持数据和系统建设。客户合同、付费规模和单任务经济性未统一核验。</x:v>
      </x:c>
      <x:c r="L8" s="9" t="str">
        <x:v>先在可重复的操作任务上验证，为本体及场景伙伴提供能力。</x:v>
      </x:c>
      <x:c r="M8" s="9" t="str">
        <x:v>接触变化多，新增物品是否会显著增加训练与调试成本？</x:v>
      </x:c>
      <x:c r="N8" s="12" t="str">
        <x:v>2024—2025年种子阶段投资方包括高瓴、蓝驰、智元等；单轮金额和投后估值未披露。</x:v>
      </x:c>
      <x:c r="O8" s="12" t="str">
        <x:v>2026年天使与Pre-A合计20亿元，属于多轮合计；尚无可去重的完整累计融资表。</x:v>
      </x:c>
      <x:c r="P8" s="9" t="str">
        <x:f>"成本持有情景。"&amp;TEXT('回报测算'!K13,"0.00")&amp;"倍，净收益率"&amp;TEXT('回报测算'!L13,"0.0%")&amp;"。计算输入及假设见回报测算；不代表已实现现金退出。"</x:f>
        <x:v>成本持有情景。1.00倍，净收益率0.0%。计算输入及假设见回报测算；不代表已实现现金退出。</x:v>
      </x:c>
    </x:row>
    <x:row r="9" ht="78" customHeight="1">
      <x:c r="A9" s="13" t="str">
        <x:v>银河通用</x:v>
      </x:c>
      <x:c r="B9" s="13" t="str">
        <x:v>拾物机器人</x:v>
      </x:c>
      <x:c r="C9" s="13" t="str">
        <x:v>具身本体与模型</x:v>
      </x:c>
      <x:c r="D9" s="13" t="str">
        <x:v>正式题库（v3撰写）</x:v>
      </x:c>
      <x:c r="E9" s="13" t="str">
        <x:v>让机器人在货架间找到物品并完成抓取。</x:v>
      </x:c>
      <x:c r="F9" s="14" t="n">
        <x:v>2024</x:v>
      </x:c>
      <x:c r="G9" s="13" t="str">
        <x:v>王鹤具有清华本科、斯坦福博士与北大机器人研究背景，2023年创办银河通用，团队结合机器人学习、移动操作及产品工程。</x:v>
      </x:c>
      <x:c r="H9" s="13" t="str">
        <x:v>机器人研究者与整机工程人员合作，把学习算法用于移动抓取。</x:v>
      </x:c>
      <x:c r="I9" s="13" t="str">
        <x:v>以仿真训练和真机反馈探索泛化抓取与移动操作，后续平台覆盖导航、双臂及任务执行。仿真数量本身不代表迁移成功。</x:v>
      </x:c>
      <x:c r="J9" s="13" t="str">
        <x:v>在仿真里训练大量抓取动作，再用真实反馈修正策略。</x:v>
      </x:c>
      <x:c r="K9" s="13" t="str">
        <x:v>从货架取货等零售任务验证系统，再拓展场景合作和部署。场景推广须观察实际运行时间、补货管理、维护和付费。</x:v>
      </x:c>
      <x:c r="L9" s="13" t="str">
        <x:v>从零售取货这类规则清楚的任务起步，和场景伙伴联合试点。</x:v>
      </x:c>
      <x:c r="M9" s="13" t="str">
        <x:v>货架变化、遮挡和补货能否在有限维护成本下处理？</x:v>
      </x:c>
      <x:c r="N9" s="15" t="str">
        <x:v>2024年天使融资7亿元；同年战略融资5亿元为另一节点。融资额不等于投后估值。</x:v>
      </x:c>
      <x:c r="O9" s="15" t="str">
        <x:v>2025年11亿元及年底超3亿美元，2026年3月25亿元等节点。不同报道累计范围有冲突，本表不强算精确总额。</x:v>
      </x:c>
      <x:c r="P9" s="13" t="str">
        <x:f>"教学估值情景。"&amp;TEXT('回报测算'!K14,"0.00")&amp;"倍，净收益率"&amp;TEXT('回报测算'!L14,"0.0%")&amp;"。计算输入及假设见回报测算；不代表已实现现金退出。"</x:f>
        <x:v>教学估值情景。5.00倍，净收益率400.0%。计算输入及假设见回报测算；不代表已实现现金退出。</x:v>
      </x:c>
    </x:row>
    <x:row r="10" ht="78" customHeight="1">
      <x:c r="A10" s="9" t="str">
        <x:v>星海图</x:v>
      </x:c>
      <x:c r="B10" s="9" t="str">
        <x:v>双行平台</x:v>
      </x:c>
      <x:c r="C10" s="9" t="str">
        <x:v>具身本体与模型</x:v>
      </x:c>
      <x:c r="D10" s="9" t="str">
        <x:v>正式题库（v3撰写）</x:v>
      </x:c>
      <x:c r="E10" s="9" t="str">
        <x:v>把双臂、底盘和数据采集做成机器人开发平台。</x:v>
      </x:c>
      <x:c r="F10" s="10" t="n">
        <x:v>2023</x:v>
      </x:c>
      <x:c r="G10" s="9" t="str">
        <x:v>高继扬具有清华本科、南加州大学博士及自动驾驶技术管理经历，2023年创办星海图。团队结合机器人研究和产品工程。</x:v>
      </x:c>
      <x:c r="H10" s="9" t="str">
        <x:v>有自动驾驶研发与机器人研究经验的团队，熟悉感知、控制和系统集成。</x:v>
      </x:c>
      <x:c r="I10" s="9" t="str">
        <x:v>软硬一体开发双臂移动平台、遥操作与学习系统，借真实数据改进操作策略。数据质量和任务覆盖比设备数量更重要。</x:v>
      </x:c>
      <x:c r="J10" s="9" t="str">
        <x:v>本体、遥操作和学习软件共同设计，让采集数据能直接用于训练。</x:v>
      </x:c>
      <x:c r="K10" s="9" t="str">
        <x:v>早期开发平台服务研究及产业客户，后续向具身模型和应用验证延伸。硬件销售与持续任务收入应分开评价。</x:v>
      </x:c>
      <x:c r="L10" s="9" t="str">
        <x:v>先向研究团队与产业伙伴提供开发平台和数据采集工具。</x:v>
      </x:c>
      <x:c r="M10" s="9" t="str">
        <x:v>研发平台卖得出去，能否进一步支持客户的生产任务？</x:v>
      </x:c>
      <x:c r="N10" s="12" t="str">
        <x:v>2023年天使轮早期交割；2024年第二交割为千万美元级。跨年交割不能重复计成两笔完整轮次。</x:v>
      </x:c>
      <x:c r="O10" s="12" t="str">
        <x:v>2024年Pre-A超2亿元；2026年累计融资媒体口径约40—50亿元，范围与交割去重尚未统一核验。</x:v>
      </x:c>
      <x:c r="P10" s="9" t="str">
        <x:f>"教学估值情景。"&amp;TEXT('回报测算'!K15,"0.00")&amp;"倍，净收益率"&amp;TEXT('回报测算'!L15,"0.0%")&amp;"。计算输入及假设见回报测算；不代表已实现现金退出。"</x:f>
        <x:v>教学估值情景。6.00倍，净收益率500.0%。计算输入及假设见回报测算；不代表已实现现金退出。</x:v>
      </x:c>
    </x:row>
    <x:row r="11" ht="78" customHeight="1">
      <x:c r="A11" s="13" t="str">
        <x:v>极智嘉</x:v>
      </x:c>
      <x:c r="B11" s="13" t="str">
        <x:v>货伴科技</x:v>
      </x:c>
      <x:c r="C11" s="13" t="str">
        <x:v>其他机器人</x:v>
      </x:c>
      <x:c r="D11" s="13" t="str">
        <x:v>正式题库（v3撰写）</x:v>
      </x:c>
      <x:c r="E11" s="13" t="str">
        <x:v>让货架来到拣货员面前，少走仓库里的路。</x:v>
      </x:c>
      <x:c r="F11" s="14" t="n">
        <x:v>2015</x:v>
      </x:c>
      <x:c r="G11" s="13" t="str">
        <x:v>郑勇具有工程及产业管理背景，2015年创办极智嘉。团队从仓储自动化任务出发，连接机器人、软件与项目交付。</x:v>
      </x:c>
      <x:c r="H11" s="13" t="str">
        <x:v>有工程与产业管理经验的团队，从仓储流程和系统交付开始创业。</x:v>
      </x:c>
      <x:c r="I11" s="13" t="str">
        <x:v>移动搬运机器人与集群调度、仓储软件协同，后续扩展不同货物及工作流。单机速度不能替代整仓吞吐与可用率。</x:v>
      </x:c>
      <x:c r="J11" s="13" t="str">
        <x:v>移动机器人配合调度软件，管理多台设备的搬运路径。</x:v>
      </x:c>
      <x:c r="K11" s="13" t="str">
        <x:v>以电商和物流仓储项目起步，通过国内外客户与渠道扩展，2025年在香港上市。长期增长仍取决于实施效率、回款和客户复购。</x:v>
      </x:c>
      <x:c r="L11" s="13" t="str">
        <x:v>电商和第三方物流仓库能用拣选效率及库容衡量改造价值。</x:v>
      </x:c>
      <x:c r="M11" s="13" t="str">
        <x:v>整仓项目周期长，回款是否跟得上硬件和实施投入？</x:v>
      </x:c>
      <x:c r="N11" s="15" t="str">
        <x:v>2015年前后早期融资阶段，首轮金额与估值未在本轮材料中核实。</x:v>
      </x:c>
      <x:c r="O11" s="15" t="str">
        <x:v>已获多轮融资并于2025年港股上市；私募与IPO募资口径分开，未填写未经去重的累计总额。</x:v>
      </x:c>
      <x:c r="P11" s="13" t="str">
        <x:f>"教学估值情景。"&amp;TEXT('回报测算'!K16,"0.00")&amp;"倍，净收益率"&amp;TEXT('回报测算'!L16,"0.0%")&amp;"。计算输入及假设见回报测算；不代表已实现现金退出。"</x:f>
        <x:v>教学估值情景。20.00倍，净收益率1900.0%。计算输入及假设见回报测算；不代表已实现现金退出。</x:v>
      </x:c>
    </x:row>
    <x:row r="12" ht="78" customHeight="1">
      <x:c r="A12" s="9" t="str">
        <x:v>越疆机器人</x:v>
      </x:c>
      <x:c r="B12" s="9" t="str">
        <x:v>轻臂科技</x:v>
      </x:c>
      <x:c r="C12" s="9" t="str">
        <x:v>其他机器人</x:v>
      </x:c>
      <x:c r="D12" s="9" t="str">
        <x:v>正式题库（v3撰写）</x:v>
      </x:c>
      <x:c r="E12" s="9" t="str">
        <x:v>把机械臂做得更轻巧，让更多工位用得起。</x:v>
      </x:c>
      <x:c r="F12" s="10" t="n">
        <x:v>2015</x:v>
      </x:c>
      <x:c r="G12" s="9" t="str">
        <x:v>刘培超具有山东大学机械研究背景，2015年创办越疆，团队从轻型桌面机械臂逐步扩展到协作机器人。</x:v>
      </x:c>
      <x:c r="H12" s="9" t="str">
        <x:v>机械与控制工程师组成小团队，把桌面机械臂做成可使用的产品。</x:v>
      </x:c>
      <x:c r="I12" s="9" t="str">
        <x:v>研发控制器、整机及应用接口，形成多个负载和应用系列。协作安全、精度与寿命需要在不同场景验证。</x:v>
      </x:c>
      <x:c r="J12" s="9" t="str">
        <x:v>控制器、轻型机械结构和软件接口一体设计。</x:v>
      </x:c>
      <x:c r="K12" s="9" t="str">
        <x:v>早期借教育、开发者和轻型自动化需求形成产品销售，再扩展工业渠道与海外市场，2024年在香港上市。设备毛利须结合集成和售后成本看。</x:v>
      </x:c>
      <x:c r="L12" s="9" t="str">
        <x:v>教育及小型自动化任务先试用，再通过集成伙伴进入工厂。</x:v>
      </x:c>
      <x:c r="M12" s="9" t="str">
        <x:v>每个工位都要定制时，低价设备还能留下足够利润吗？</x:v>
      </x:c>
      <x:c r="N12" s="12" t="str">
        <x:v>早期融资具体年月与估值未核；游戏取2015年产品起步阶段。</x:v>
      </x:c>
      <x:c r="O12" s="12" t="str">
        <x:v>原表累计3.2亿元缺日期及范围；后续私募与2024年IPO另有披露，本表不沿用为当前总额。</x:v>
      </x:c>
      <x:c r="P12" s="9" t="str">
        <x:f>"教学估值情景。"&amp;TEXT('回报测算'!K17,"0.00")&amp;"倍，净收益率"&amp;TEXT('回报测算'!L17,"0.0%")&amp;"。计算输入及假设见回报测算；不代表已实现现金退出。"</x:f>
        <x:v>教学估值情景。15.00倍，净收益率1400.0%。计算输入及假设见回报测算；不代表已实现现金退出。</x:v>
      </x:c>
    </x:row>
    <x:row r="13" ht="78" customHeight="1">
      <x:c r="A13" s="13" t="str">
        <x:v>石头科技</x:v>
      </x:c>
      <x:c r="B13" s="13" t="str">
        <x:v>循迹清洁</x:v>
      </x:c>
      <x:c r="C13" s="13" t="str">
        <x:v>其他机器人</x:v>
      </x:c>
      <x:c r="D13" s="13" t="str">
        <x:v>正式题库（v3撰写）</x:v>
      </x:c>
      <x:c r="E13" s="13" t="str">
        <x:v>让扫地机器人先看懂房间，再安排清扫路线。</x:v>
      </x:c>
      <x:c r="F13" s="14" t="n">
        <x:v>2014</x:v>
      </x:c>
      <x:c r="G13" s="13" t="str">
        <x:v>昌敬具有软件及互联网产品开发经历，2014年创办石头科技。团队将导航软件能力与清洁硬件、供应链工程结合。</x:v>
      </x:c>
      <x:c r="H13" s="13" t="str">
        <x:v>软件与互联网产品团队，从家庭清洁这一具体需求进入硬件。</x:v>
      </x:c>
      <x:c r="I13" s="13" t="str">
        <x:v>以激光导航和路径规划提升清扫覆盖，再持续改进拖地、基站和维护体验。算法与机械结构共同决定家庭环境中的可用性。</x:v>
      </x:c>
      <x:c r="J13" s="13" t="str">
        <x:v>激光建图、路径规划和清扫机构一起设计，减少漏扫与反复绕行。</x:v>
      </x:c>
      <x:c r="K13" s="13" t="str">
        <x:v>借生态渠道推出早期产品，随后发展自有品牌及海外渠道，2020年科创板上市。渠道资源帮助启动，品牌投入与售后能力支撑扩张。</x:v>
      </x:c>
      <x:c r="L13" s="13" t="str">
        <x:v>借助消费电子生态渠道，把首款产品送到已有用户面前。</x:v>
      </x:c>
      <x:c r="M13" s="13" t="str">
        <x:v>渠道能帮助起步，但能否支持长期品牌和产品定价？</x:v>
      </x:c>
      <x:c r="N13" s="15" t="str">
        <x:v>2014年天使阶段获得生态及财务投资；精确金额与投后估值未核实。</x:v>
      </x:c>
      <x:c r="O13" s="15" t="str">
        <x:v>多轮私募后于2020年科创板上市；累计私募总额未核，市值及销售收入不当融资金额。</x:v>
      </x:c>
      <x:c r="P13" s="13" t="str">
        <x:f>"教学估值情景。"&amp;TEXT('回报测算'!K18,"0.00")&amp;"倍，净收益率"&amp;TEXT('回报测算'!L18,"0.0%")&amp;"。计算输入及假设见回报测算；不代表已实现现金退出。"</x:f>
        <x:v>教学估值情景。200.00倍，净收益率19900.0%。计算输入及假设见回报测算；不代表已实现现金退出。</x:v>
      </x:c>
    </x:row>
    <x:row r="14" ht="78" customHeight="1">
      <x:c r="A14" s="9" t="str">
        <x:v>普渡科技</x:v>
      </x:c>
      <x:c r="B14" s="9" t="str">
        <x:v>餐途机器人</x:v>
      </x:c>
      <x:c r="C14" s="9" t="str">
        <x:v>其他机器人</x:v>
      </x:c>
      <x:c r="D14" s="9" t="str">
        <x:v>正式题库（v3撰写）</x:v>
      </x:c>
      <x:c r="E14" s="9" t="str">
        <x:v>用机器人接走餐厅里重复的送餐路程。</x:v>
      </x:c>
      <x:c r="F14" s="10" t="n">
        <x:v>2016</x:v>
      </x:c>
      <x:c r="G14" s="9" t="str">
        <x:v>张涛于2016年创办普渡，团队从机器人工程和室内配送需求切入，持续建设整机、软件和渠道能力。</x:v>
      </x:c>
      <x:c r="H14" s="9" t="str">
        <x:v>机器人工程团队从餐厅需求起步，围绕底盘、导航和可维护性做产品。</x:v>
      </x:c>
      <x:c r="I14" s="9" t="str">
        <x:v>由室内配送的定位、避障与调度扩展到清洁及其他商用任务。产品需应对人流、地面、布局和维护条件的变化。</x:v>
      </x:c>
      <x:c r="J14" s="9" t="str">
        <x:v>室内定位、避障和多机调度围绕端盘配送组合。</x:v>
      </x:c>
      <x:c r="K14" s="9" t="str">
        <x:v>餐饮和酒店形成早期付费入口，再扩展全球渠道及产品组合。2026年融资新闻稿称新轮近1.5亿美元、投后超15亿美元，属于公司披露。</x:v>
      </x:c>
      <x:c r="L14" s="9" t="str">
        <x:v>餐厅与酒店的固定往返任务，便于比较人工时间和设备成本。</x:v>
      </x:c>
      <x:c r="M14" s="9" t="str">
        <x:v>拥挤门店中的故障和售后，是否会吃掉节省的人工成本？</x:v>
      </x:c>
      <x:c r="N14" s="12" t="str">
        <x:v>2016年前后早期阶段，首轮精确交易信息未核；游戏取2016年进入。</x:v>
      </x:c>
      <x:c r="O14" s="12" t="str">
        <x:v>2020年B/B+各约1500万美元、2021年C1/C2合计近1.55亿美元；2026年新轮近1.5亿美元。未将多个币种与节点拼成累计总额。</x:v>
      </x:c>
      <x:c r="P14" s="9" t="str">
        <x:f>"教学估值情景。"&amp;TEXT('回报测算'!K19,"0.00")&amp;"倍，净收益率"&amp;TEXT('回报测算'!L19,"0.0%")&amp;"。计算输入及假设见回报测算；不代表已实现现金退出。"</x:f>
        <x:v>教学估值情景。120.00倍，净收益率11900.0%。计算输入及假设见回报测算；不代表已实现现金退出。</x:v>
      </x:c>
    </x:row>
    <x:row r="15" ht="78" customHeight="1">
      <x:c r="A15" s="13" t="str">
        <x:v>大疆创新</x:v>
      </x:c>
      <x:c r="B15" s="13" t="str">
        <x:v>稳翼科技</x:v>
      </x:c>
      <x:c r="C15" s="13" t="str">
        <x:v>其他机器人</x:v>
      </x:c>
      <x:c r="D15" s="13" t="str">
        <x:v>正式题库（v3撰写）</x:v>
      </x:c>
      <x:c r="E15" s="13" t="str">
        <x:v>先让模型飞行器稳住，再把拍摄变简单。</x:v>
      </x:c>
      <x:c r="F15" s="14" t="n">
        <x:v>2006</x:v>
      </x:c>
      <x:c r="G15" s="13" t="str">
        <x:v>汪滔在香港科技大学求学期间钻研飞控，2006年创办大疆，从小团队与飞行稳定模块起步，后续补齐产品和制造组织。</x:v>
      </x:c>
      <x:c r="H15" s="13" t="str">
        <x:v>仍在求学的飞控爱好者和小型工程团队，围绕反复调试的飞行模块创业。</x:v>
      </x:c>
      <x:c r="I15" s="13" t="str">
        <x:v>从飞控扩展到云台、整机与图传，系统协同降低航拍使用门槛。飞行控制、相机稳定和整机可靠性共同形成产品价值。</x:v>
      </x:c>
      <x:c r="J15" s="13" t="str">
        <x:v>把姿态感知、飞行控制和电机响应协同优化。</x:v>
      </x:c>
      <x:c r="K15" s="13" t="str">
        <x:v>先服务专业与航模用户，后续以一体航拍产品进入消费市场，并扩展行业应用。公开市场地位不是精确股权退出记录。</x:v>
      </x:c>
      <x:c r="L15" s="13" t="str">
        <x:v>先向航模与专业用户销售飞控模块，逐步验证稳定拍摄需求。</x:v>
      </x:c>
      <x:c r="M15" s="13" t="str">
        <x:v>专业玩家市场较小，整机的安全与售后要怎样支撑扩张？</x:v>
      </x:c>
      <x:c r="N15" s="15" t="str">
        <x:v>2006年创办期资金与后续外部融资不是同一轮；首轮机构融资日期和估值未核，游戏为创办期教学进入。</x:v>
      </x:c>
      <x:c r="O15" s="15" t="str">
        <x:v>历年私募未形成统一去重表；公司未公开完整融资总额，本表不填推断数。</x:v>
      </x:c>
      <x:c r="P15" s="13" t="str">
        <x:f>"教学估值情景。"&amp;TEXT('回报测算'!K20,"0.00")&amp;"倍，净收益率"&amp;TEXT('回报测算'!L20,"0.0%")&amp;"。计算输入及假设见回报测算；不代表已实现现金退出。"</x:f>
        <x:v>教学估值情景。300.00倍，净收益率29900.0%。计算输入及假设见回报测算；不代表已实现现金退出。</x:v>
      </x:c>
    </x:row>
    <x:row r="16" ht="78" customHeight="1">
      <x:c r="A16" s="9" t="str">
        <x:v>追觅科技</x:v>
      </x:c>
      <x:c r="B16" s="9" t="str">
        <x:v>劲风科技</x:v>
      </x:c>
      <x:c r="C16" s="9" t="str">
        <x:v>其他机器人</x:v>
      </x:c>
      <x:c r="D16" s="9" t="str">
        <x:v>正式题库（v3撰写）</x:v>
      </x:c>
      <x:c r="E16" s="9" t="str">
        <x:v>先做好高速电机，让清洁电器更有吸力。</x:v>
      </x:c>
      <x:c r="F16" s="10" t="n">
        <x:v>2017</x:v>
      </x:c>
      <x:c r="G16" s="9" t="str">
        <x:v>俞浩具有清华工程背景，学生科技团队与高速电机研发形成早期积累，2017年创办追觅。组织从核心部件扩展到整机和消费品牌。</x:v>
      </x:c>
      <x:c r="H16" s="9" t="str">
        <x:v>学生科技团队成长出的工程师，长期钻研电机和整机性能。</x:v>
      </x:c>
      <x:c r="I16" s="9" t="str">
        <x:v>以高速电机、流体设计及控制提升清洁性能，再延伸到导航与清洁机器人系统。核心性能需要与使用体验、噪声和维护平衡。</x:v>
      </x:c>
      <x:c r="J16" s="9" t="str">
        <x:v>电机、气路与控制共同设计，兼顾吸力、噪声和体积。</x:v>
      </x:c>
      <x:c r="K16" s="9" t="str">
        <x:v>早期通过生态渠道和清洁电器验证产品，后续建立自有品牌、海外销售和产品矩阵。多品类扩张不自动代表每项业务都盈利。</x:v>
      </x:c>
      <x:c r="L16" s="9" t="str">
        <x:v>先把核心性能装进可销售的清洁电器，借生态渠道验证需求。</x:v>
      </x:c>
      <x:c r="M16" s="9" t="str">
        <x:v>吸力提升是否足以换来溢价，供应链和品牌投入会多快增加？</x:v>
      </x:c>
      <x:c r="N16" s="12" t="str">
        <x:v>2017年前后早期投资阶段；首轮金额及估值未核实。</x:v>
      </x:c>
      <x:c r="O16" s="12" t="str">
        <x:v>2021年C轮公开报道36亿元，属于单轮节点；其后融资与交易未在本轮统一去重，累计总额未核。</x:v>
      </x:c>
      <x:c r="P16" s="9" t="str">
        <x:f>"教学估值情景。"&amp;TEXT('回报测算'!K21,"0.00")&amp;"倍，净收益率"&amp;TEXT('回报测算'!L21,"0.0%")&amp;"。计算输入及假设见回报测算；不代表已实现现金退出。"</x:f>
        <x:v>教学估值情景。80.00倍，净收益率7900.0%。计算输入及假设见回报测算；不代表已实现现金退出。</x:v>
      </x:c>
    </x:row>
    <x:row r="17" ht="78" customHeight="1">
      <x:c r="A17" s="13" t="str">
        <x:v>擎朗智能</x:v>
      </x:c>
      <x:c r="B17" s="13" t="str">
        <x:v>勤路科技</x:v>
      </x:c>
      <x:c r="C17" s="13" t="str">
        <x:v>其他机器人</x:v>
      </x:c>
      <x:c r="D17" s="13" t="str">
        <x:v>正式题库（v3撰写）</x:v>
      </x:c>
      <x:c r="E17" s="13" t="str">
        <x:v>把送餐机器人做成门店每天能用的工具。</x:v>
      </x:c>
      <x:c r="F17" s="14" t="n">
        <x:v>2016</x:v>
      </x:c>
      <x:c r="G17" s="13" t="str">
        <x:v>李通与三名伙伴于2010年以约20万元启动擎朗，早期从具体任务积累工程能力。2016年前后进入外部融资和餐饮机器人产品推进阶段。</x:v>
      </x:c>
      <x:c r="H17" s="13" t="str">
        <x:v>用少量资金起步的服务机器人工程团队，经历多个具体任务的产品迭代。</x:v>
      </x:c>
      <x:c r="I17" s="13" t="str">
        <x:v>室内定位、底盘与调度围绕餐厅环境反复迭代，后续扩展配送及清洁产品。对人流和门店变化的适应影响日常可用率。</x:v>
      </x:c>
      <x:c r="J17" s="13" t="str">
        <x:v>围绕狭窄通道与高峰人流优化底盘、定位和调度。</x:v>
      </x:c>
      <x:c r="K17" s="13" t="str">
        <x:v>以餐厅重复配送为商业切口，后续发展连锁客户及全球渠道。不同门店的售后密度与安装效率影响复制收益。</x:v>
      </x:c>
      <x:c r="L17" s="13" t="str">
        <x:v>向连锁餐饮展示节省的往返搬运时间，再扩展标准门店部署。</x:v>
      </x:c>
      <x:c r="M17" s="13" t="str">
        <x:v>门店差异很大，跨城市维护能否保持可接受的成本？</x:v>
      </x:c>
      <x:c r="N17" s="15" t="str">
        <x:v>原表取2016年、融资3000万元，来源与具体轮次待补；2010年创办启动资金不是机构首轮。</x:v>
      </x:c>
      <x:c r="O17" s="15" t="str">
        <x:v>原表累计18.6亿元为旧口径；2021年D轮2亿美元为公开节点，未核截至当前累计总额。</x:v>
      </x:c>
      <x:c r="P17" s="13" t="str">
        <x:f>"教学估值情景。"&amp;TEXT('回报测算'!K22,"0.00")&amp;"倍，净收益率"&amp;TEXT('回报测算'!L22,"0.0%")&amp;"。计算输入及假设见回报测算；不代表已实现现金退出。"</x:f>
        <x:v>教学估值情景。30.00倍，净收益率2900.0%。计算输入及假设见回报测算；不代表已实现现金退出。</x:v>
      </x:c>
    </x:row>
    <x:row r="18" ht="78" customHeight="1">
      <x:c r="A18" s="9" t="str">
        <x:v>深兰机器人（上海主体）</x:v>
      </x:c>
      <x:c r="B18" s="9" t="str">
        <x:v>城务机器人</x:v>
      </x:c>
      <x:c r="C18" s="9" t="str">
        <x:v>其他机器人</x:v>
      </x:c>
      <x:c r="D18" s="9" t="str">
        <x:v>正式题库（v3撰写）</x:v>
      </x:c>
      <x:c r="E18" s="9" t="str">
        <x:v>把清洁与移动作业做成面向园区的机器人。</x:v>
      </x:c>
      <x:c r="F18" s="10" t="n">
        <x:v>2017</x:v>
      </x:c>
      <x:c r="G18" s="9" t="str">
        <x:v>原型限定为深兰机器人上海法律主体，依托深兰科技集团AI和产业资源。集团创始人经历与融资不能当作该子公司的独立交易信息。</x:v>
      </x:c>
      <x:c r="H18" s="9" t="str">
        <x:v>有AI研发及产业资源支持的工程团队，准备把视觉技术落到实体设备。</x:v>
      </x:c>
      <x:c r="I18" s="9" t="str">
        <x:v>将视觉感知、移动导航和机器人机构用于清洁及其他服务任务。集团宣传的技术范围不等于子公司独立产品全部能力。</x:v>
      </x:c>
      <x:c r="J18" s="9" t="str">
        <x:v>视觉感知、导航和作业机构组成服务机器人方案。</x:v>
      </x:c>
      <x:c r="K18" s="9" t="str">
        <x:v>集团渠道提供场景和试点，后续上海主体进入清算程序。2026年9月报道提及2026年5月受理；程序对象限定该主体。</x:v>
      </x:c>
      <x:c r="L18" s="9" t="str">
        <x:v>集团渠道可对接园区和城市服务试点，为产品提供首批场景。</x:v>
      </x:c>
      <x:c r="M18" s="9" t="str">
        <x:v>同时铺开多个场景，试点能否转成标准验收和持续回款？</x:v>
      </x:c>
      <x:c r="N18" s="12" t="str">
        <x:v>子公司首轮股权融资未披露；游戏取2017年早期教学进入，不宣称发生该笔外部VC交易。</x:v>
      </x:c>
      <x:c r="O18" s="12" t="str">
        <x:v>未披露可归属该子公司的累计融资；不套用深兰集团融资或估值。</x:v>
      </x:c>
      <x:c r="P18" s="9" t="str">
        <x:f>"损失回收情景。"&amp;TEXT('回报测算'!K23,"0.00")&amp;"倍，净收益率"&amp;TEXT('回报测算'!L23,"0.0%")&amp;"。计算输入及假设见回报测算；不代表已实现现金退出。"</x:f>
        <x:v>损失回收情景。0.00倍，净收益率-100.0%。计算输入及假设见回报测算；不代表已实现现金退出。</x:v>
      </x:c>
    </x:row>
    <x:row r="19" ht="78" customHeight="1">
      <x:c r="A19" s="13" t="str">
        <x:v>达闼机器人（北京子公司）</x:v>
      </x:c>
      <x:c r="B19" s="13" t="str">
        <x:v>云行机器人</x:v>
      </x:c>
      <x:c r="C19" s="13" t="str">
        <x:v>其他机器人</x:v>
      </x:c>
      <x:c r="D19" s="13" t="str">
        <x:v>正式题库（v3撰写）</x:v>
      </x:c>
      <x:c r="E19" s="13" t="str">
        <x:v>把云端计算和本地机器人连成服务系统。</x:v>
      </x:c>
      <x:c r="F19" s="14" t="n">
        <x:v>2018</x:v>
      </x:c>
      <x:c r="G19" s="13" t="str">
        <x:v>原型限定为达闼机器人北京子公司。集团由通信行业创业者推动云端机器人路线，但集团创始人及融资履历不是该子公司独立股权资料。</x:v>
      </x:c>
      <x:c r="H19" s="13" t="str">
        <x:v>有通信系统和机器人研发背景的产业团队，尝试把云服务经验用于实体设备。</x:v>
      </x:c>
      <x:c r="I19" s="13" t="str">
        <x:v>云端平台与本地机器人协同，涉及网络、感知、控制及运维。云端更新不能替代端侧实时安全和现场可靠性。</x:v>
      </x:c>
      <x:c r="J19" s="13" t="str">
        <x:v>云端更新任务和算法，本地设备负责感知、控制与断网保护。</x:v>
      </x:c>
      <x:c r="K19" s="13" t="str">
        <x:v>通过产业渠道推进企业服务机器人项目，后续北京子公司进入破产清算。2026年9月报道的司法对象为该子公司。</x:v>
      </x:c>
      <x:c r="L19" s="13" t="str">
        <x:v>通过产业渠道对接园区及企业客户，探索设备与服务结合的收费。</x:v>
      </x:c>
      <x:c r="M19" s="13" t="str">
        <x:v>网络条件和现场集成变化大，系统是否能独立稳定运行？</x:v>
      </x:c>
      <x:c r="N19" s="15" t="str">
        <x:v>子公司独立首轮未披露；游戏取2018年教学进入，日期并非已核实融资交割。</x:v>
      </x:c>
      <x:c r="O19" s="15" t="str">
        <x:v>该子公司累计融资未披露；达闼集团大额融资不得写入该主体估值或回报。</x:v>
      </x:c>
      <x:c r="P19" s="13" t="str">
        <x:f>"损失回收情景。"&amp;TEXT('回报测算'!K24,"0.00")&amp;"倍，净收益率"&amp;TEXT('回报测算'!L24,"0.0%")&amp;"。计算输入及假设见回报测算；不代表已实现现金退出。"</x:f>
        <x:v>损失回收情景。0.00倍，净收益率-100.0%。计算输入及假设见回报测算；不代表已实现现金退出。</x:v>
      </x:c>
    </x:row>
    <x:row r="20" ht="78" customHeight="1">
      <x:c r="A20" s="9" t="str">
        <x:v>盈合机器人</x:v>
      </x:c>
      <x:c r="B20" s="9" t="str">
        <x:v>工序机器人</x:v>
      </x:c>
      <x:c r="C20" s="9" t="str">
        <x:v>其他机器人</x:v>
      </x:c>
      <x:c r="D20" s="9" t="str">
        <x:v>正式题库（v3撰写）</x:v>
      </x:c>
      <x:c r="E20" s="9" t="str">
        <x:v>把机器人装进工业和城市服务流程。</x:v>
      </x:c>
      <x:c r="F20" s="10" t="n">
        <x:v>2020</x:v>
      </x:c>
      <x:c r="G20" s="9" t="str">
        <x:v>沈岗具有东京工业大学机械博士、发那科及博智林工作经历，2020年在深圳创办盈合，带有盈峰集团产业背景。原型是工业自动化和城市服务机器人公司，不是四足公司。</x:v>
      </x:c>
      <x:c r="H20" s="9" t="str">
        <x:v>有大型自动化企业和建筑机器人经验的工程管理团队，依托产业股东创业。</x:v>
      </x:c>
      <x:c r="I20" s="9" t="str">
        <x:v>以AI、IoT、Robot组合面向工业、应急管理和城市治理，重点在系统与具体工序集成。多产品线不等于共用同一交付成本结构。</x:v>
      </x:c>
      <x:c r="J20" s="9" t="str">
        <x:v>把机器人、感知和物联网平台连接到具体作业流程。</x:v>
      </x:c>
      <x:c r="K20" s="9" t="str">
        <x:v>2020年天使融资7000万元、2021年A轮约4亿元支持项目扩张，后续经营遇到困难并进入破产程序。2026年9月报道其融资累计超6亿元。</x:v>
      </x:c>
      <x:c r="L20" s="9" t="str">
        <x:v>产业资源可对接制造、应急及城市治理项目，提供首批客户入口。</x:v>
      </x:c>
      <x:c r="M20" s="9" t="str">
        <x:v>项目横跨多个行业，定制投入能否被重复订单覆盖？</x:v>
      </x:c>
      <x:c r="N20" s="12" t="str">
        <x:v>2020年天使融资7000万元，为融资额；投后估值未披露。</x:v>
      </x:c>
      <x:c r="O20" s="12" t="str">
        <x:v>2021年A轮约4亿元，2026年报道累计融资超6亿元，属于媒体口径，未核实股权清偿。</x:v>
      </x:c>
      <x:c r="P20" s="9" t="str">
        <x:f>"损失回收情景。"&amp;TEXT('回报测算'!K25,"0.00")&amp;"倍，净收益率"&amp;TEXT('回报测算'!L25,"0.0%")&amp;"。计算输入及假设见回报测算；不代表已实现现金退出。"</x:f>
        <x:v>损失回收情景。0.00倍，净收益率-100.0%。计算输入及假设见回报测算；不代表已实现现金退出。</x:v>
      </x:c>
    </x:row>
    <x:row r="21" ht="78" customHeight="1">
      <x:c r="A21" s="13" t="str">
        <x:v>梅卡曼德</x:v>
      </x:c>
      <x:c r="B21" s="13" t="str">
        <x:v>机臂视界</x:v>
      </x:c>
      <x:c r="C21" s="13" t="str">
        <x:v>核心部件</x:v>
      </x:c>
      <x:c r="D21" s="11" t="str">
        <x:v>人工确认案例</x:v>
      </x:c>
      <x:c r="E21" s="13" t="str">
        <x:v>给不同的机械臂用上同一套“眼睛和大脑”。</x:v>
      </x:c>
      <x:c r="F21" s="14" t="str">
        <x:v>2016</x:v>
      </x:c>
      <x:c r="G21" s="13" t="str">
        <x:v>邵天兰具有清华与德国机器人研发背景，2016年创办梅卡曼德。团队将工业视觉和机器人算法组合成面向集成商的产品。</x:v>
      </x:c>
      <x:c r="H21" s="13" t="str">
        <x:v>名校软件背景的海归团队，创业切入点选在工厂里最普通的抓取工序。</x:v>
      </x:c>
      <x:c r="I21" s="13" t="str">
        <x:v>从3D相机、位姿识别与运动规划切入，减少无序抓取的工位编程负担。标准组件仍需处理反光、遮挡与不同末端执行器。</x:v>
      </x:c>
      <x:c r="J21" s="13" t="str">
        <x:v>尝试把相机、识别算法和抓取软件做成一套产品，减少每个工位重新编程的工作。</x:v>
      </x:c>
      <x:c r="K21" s="13" t="str">
        <x:v>通过自动化集成商交付无序抓取、拆码垛等工厂项目，组件销售与伙伴网络帮助复制。原表100亿元终点是人工选定基准，并非本轮核验的上市市值。</x:v>
      </x:c>
      <x:c r="L21" s="13" t="str">
        <x:v>通过自动化集成商进入工厂，让合作伙伴用这套产品完成客户项目。</x:v>
      </x:c>
      <x:c r="M21" s="13" t="str">
        <x:v>适配品牌越多越复杂，整机厂有可能下场自己做视觉</x:v>
      </x:c>
      <x:c r="N21" s="15" t="str">
        <x:v>人工基准：2016年天使轮投后估值1600万元，即0.16亿元人民币；交易原文待补证。</x:v>
      </x:c>
      <x:c r="O21" s="15" t="str">
        <x:v>人工选定终点估值100亿元人民币；原表“上市后的近期均值”缺主体、日期及证明，改为人工终点，不宣称已上市。累计融资总额未核。</x:v>
      </x:c>
      <x:c r="P21" s="13" t="str">
        <x:f>"人工确认基准。"&amp;TEXT('回报测算'!K26,"0.00")&amp;"倍，净收益率"&amp;TEXT('回报测算'!L26,"0.0%")&amp;"。计算输入及假设见回报测算；不代表已实现现金退出。"</x:f>
        <x:v>人工确认基准。625.00倍，净收益率62400.0%。计算输入及假设见回报测算；不代表已实现现金退出。</x:v>
      </x:c>
    </x:row>
    <x:row r="22" ht="78" customHeight="1">
      <x:c r="A22" s="9" t="str">
        <x:v>柔宇科技</x:v>
      </x:c>
      <x:c r="B22" s="9" t="str">
        <x:v>折光科技</x:v>
      </x:c>
      <x:c r="C22" s="9" t="str">
        <x:v>核心部件</x:v>
      </x:c>
      <x:c r="D22" s="11" t="str">
        <x:v>人工确认案例</x:v>
      </x:c>
      <x:c r="E22" s="9" t="str">
        <x:v>把屏幕做得像纸一样可以弯折</x:v>
      </x:c>
      <x:c r="F22" s="10" t="str">
        <x:v>2016年（真实年份更早，在本游戏中取2016年C+轮）</x:v>
      </x:c>
      <x:c r="G22" s="9" t="str">
        <x:v>刘自鸿等具有斯坦福及电子工程背景，2012年创办柔宇。团队从柔性电子工艺研发走向制造产线，游戏按用户选择在2016年C+轮进入。</x:v>
      </x:c>
      <x:c r="H22" s="9" t="str">
        <x:v>名校博士与电子工程团队创业，对核心工艺有长期积累。</x:v>
      </x:c>
      <x:c r="I22" s="9" t="str">
        <x:v>柔性显示涉及材料、薄膜器件、工艺及封装协同。技术样品、稳定良率与可盈利的大规模产能存在不同验证要求。</x:v>
      </x:c>
      <x:c r="J22" s="9" t="str">
        <x:v>从材料、薄膜工艺到显示器件协同开发，技术壁垒集中在工艺环节</x:v>
      </x:c>
      <x:c r="K22" s="9" t="str">
        <x:v>推进产线、消费电子和柔性应用产品，重资产投入需要规模订单及现金流支撑。2024年11月法院宣告柔宇相关三主体破产。</x:v>
      </x:c>
      <x:c r="L22" s="9" t="str">
        <x:v>从消费电子到机器人，都有潜在应用场景</x:v>
      </x:c>
      <x:c r="M22" s="9" t="str">
        <x:v>成本优势要等良率和订单规模上来才能兑现</x:v>
      </x:c>
      <x:c r="N22" s="12" t="str">
        <x:v>公司首轮融资早于2016年；本游戏沿用2016年C+轮，金额与估值未核实。</x:v>
      </x:c>
      <x:c r="O22" s="12" t="str">
        <x:v>历年多轮融资与产线投入分开；累计融资总额未统一核。2024年相关主体宣告破产不等于已披露普通股清偿。</x:v>
      </x:c>
      <x:c r="P22" s="9" t="str">
        <x:f>"人工确认基准。"&amp;TEXT('回报测算'!K27,"0.00")&amp;"倍，净收益率"&amp;TEXT('回报测算'!L27,"0.0%")&amp;"。计算输入及假设见回报测算；不代表已实现现金退出。"</x:f>
        <x:v>人工确认基准。0.00倍，净收益率-100.0%。计算输入及假设见回报测算；不代表已实现现金退出。</x:v>
      </x:c>
    </x:row>
    <x:row r="23" ht="78" customHeight="1">
      <x:c r="A23" s="13" t="str">
        <x:v>禾赛科技</x:v>
      </x:c>
      <x:c r="B23" s="13" t="str">
        <x:v>光域传感</x:v>
      </x:c>
      <x:c r="C23" s="13" t="str">
        <x:v>核心部件</x:v>
      </x:c>
      <x:c r="D23" s="13" t="str">
        <x:v>正式题库（v3撰写）</x:v>
      </x:c>
      <x:c r="E23" s="13" t="str">
        <x:v>把激光测距做成机器人和汽车可用的传感器。</x:v>
      </x:c>
      <x:c r="F23" s="14" t="n">
        <x:v>2016</x:v>
      </x:c>
      <x:c r="G23" s="13" t="str">
        <x:v>李一帆、孙恺与向少卿于2014年创办禾赛，团队覆盖海外研究、光学、电子及工程能力。早期技术探索逐渐转向激光雷达产品。</x:v>
      </x:c>
      <x:c r="H23" s="13" t="str">
        <x:v>海外名校博士与工程团队，结合光学、电子和产品开发经验。</x:v>
      </x:c>
      <x:c r="I23" s="13" t="str">
        <x:v>将测距、光机电结构与校准工艺产品化，再向车规量产和集成设计迭代。研发雷达与量产雷达的成本及质量要求不同。</x:v>
      </x:c>
      <x:c r="J23" s="13" t="str">
        <x:v>光机电设计与标定协同，提高点云精度并控制制造成本。</x:v>
      </x:c>
      <x:c r="K23" s="13" t="str">
        <x:v>从自动驾驶研发等客户扩展到车企量产，2023年赴美上市。出货、客户定点和上市是阶段证据，价格压力与毛利仍需看。</x:v>
      </x:c>
      <x:c r="L23" s="13" t="str">
        <x:v>自动驾驶研发客户需要稳定的环境感知，提供首批付费需求。</x:v>
      </x:c>
      <x:c r="M23" s="13" t="str">
        <x:v>车规导入很长，量产价格下降会不会快于成本下降？</x:v>
      </x:c>
      <x:c r="N23" s="15" t="str">
        <x:v>首轮精确融资日期及估值未核；游戏取2016年产品起步阶段，不声称该年为真实首轮。</x:v>
      </x:c>
      <x:c r="O23" s="15" t="str">
        <x:v>已历多轮私募及2023年IPO；累计私募总额未核，募资与市值分开记录。</x:v>
      </x:c>
      <x:c r="P23" s="13" t="str">
        <x:f>"教学估值情景。"&amp;TEXT('回报测算'!K28,"0.00")&amp;"倍，净收益率"&amp;TEXT('回报测算'!L28,"0.0%")&amp;"。计算输入及假设见回报测算；不代表已实现现金退出。"</x:f>
        <x:v>教学估值情景。25.00倍，净收益率2400.0%。计算输入及假设见回报测算；不代表已实现现金退出。</x:v>
      </x:c>
    </x:row>
    <x:row r="24" ht="78" customHeight="1">
      <x:c r="A24" s="9" t="str">
        <x:v>速腾聚创</x:v>
      </x:c>
      <x:c r="B24" s="9" t="str">
        <x:v>远光传感</x:v>
      </x:c>
      <x:c r="C24" s="9" t="str">
        <x:v>核心部件</x:v>
      </x:c>
      <x:c r="D24" s="9" t="str">
        <x:v>正式题库（v3撰写）</x:v>
      </x:c>
      <x:c r="E24" s="9" t="str">
        <x:v>让机器人用激光看见周围物体的距离。</x:v>
      </x:c>
      <x:c r="F24" s="10" t="n">
        <x:v>2015</x:v>
      </x:c>
      <x:c r="G24" s="9" t="str">
        <x:v>邱纯鑫具有哈尔滨工业大学机器人研究背景，2014年与联合团队创办速腾聚创，结合激光雷达硬件与感知软件。</x:v>
      </x:c>
      <x:c r="H24" s="9" t="str">
        <x:v>机器人与感知研究背景的团队，从测距硬件和点云算法共同切入。</x:v>
      </x:c>
      <x:c r="I24" s="9" t="str">
        <x:v>从机械式产品到车规产品及感知平台，持续迭代光机电和制造工程。产品定点到量产需要满足质量、可靠性和成本约束。</x:v>
      </x:c>
      <x:c r="J24" s="9" t="str">
        <x:v>传感器与点云处理一起设计，方便客户接入感知系统。</x:v>
      </x:c>
      <x:c r="K24" s="9" t="str">
        <x:v>早期面向机器人与自动驾驶开发者，再拓展车企量产客户，2024年在香港上市。上市与业务扩张不保证各轮都获超额回报。</x:v>
      </x:c>
      <x:c r="L24" s="9" t="str">
        <x:v>先服务机器人和自动驾驶研发，再争取车企产品导入。</x:v>
      </x:c>
      <x:c r="M24" s="9" t="str">
        <x:v>定点不等于量产，漫长验证期内怎样维持研发和现金流？</x:v>
      </x:c>
      <x:c r="N24" s="12" t="str">
        <x:v>早期公开融资节点约2015年前后；首轮金额与投后估值未核。</x:v>
      </x:c>
      <x:c r="O24" s="12" t="str">
        <x:v>多轮私募后于2024年港股上市；未核可去重的私募累计总额，IPO募资不与估值混用。</x:v>
      </x:c>
      <x:c r="P24" s="9" t="str">
        <x:f>"教学估值情景。"&amp;TEXT('回报测算'!K29,"0.00")&amp;"倍，净收益率"&amp;TEXT('回报测算'!L29,"0.0%")&amp;"。计算输入及假设见回报测算；不代表已实现现金退出。"</x:f>
        <x:v>教学估值情景。15.00倍，净收益率1400.0%。计算输入及假设见回报测算；不代表已实现现金退出。</x:v>
      </x:c>
    </x:row>
    <x:row r="25" ht="78" customHeight="1">
      <x:c r="A25" s="13" t="str">
        <x:v>绿的谐波</x:v>
      </x:c>
      <x:c r="B25" s="13" t="str">
        <x:v>精衡传动</x:v>
      </x:c>
      <x:c r="C25" s="13" t="str">
        <x:v>核心部件</x:v>
      </x:c>
      <x:c r="D25" s="13" t="str">
        <x:v>正式题库（v3撰写）</x:v>
      </x:c>
      <x:c r="E25" s="13" t="str">
        <x:v>把机器人关节需要的精密减速器做成国产选项。</x:v>
      </x:c>
      <x:c r="F25" s="14" t="n">
        <x:v>2016</x:v>
      </x:c>
      <x:c r="G25" s="13" t="str">
        <x:v>左昱昱、左昱领团队依托精密制造积累开展谐波传动研发，绿的谐波主体于2011年设立。其“低开”指窄部件和长期工艺起步。</x:v>
      </x:c>
      <x:c r="H25" s="13" t="str">
        <x:v>长期做精密制造的团队，用多年工艺迭代挑战高精度传动部件。</x:v>
      </x:c>
      <x:c r="I25" s="13" t="str">
        <x:v>谐波传动依赖齿形、柔轮、材料及加工控制，精度与疲劳寿命需同步验证。制造能力是持续累积的壁垒。</x:v>
      </x:c>
      <x:c r="J25" s="13" t="str">
        <x:v>齿形、柔轮材料与加工一致性一起决定精度和寿命。</x:v>
      </x:c>
      <x:c r="K25" s="13" t="str">
        <x:v>先从机器人厂商导入与批量采购形成市场，2020年科创板上市。终端机器人景气会影响订单，产品导入和客户黏性支撑收入。</x:v>
      </x:c>
      <x:c r="L25" s="13" t="str">
        <x:v>向工业机器人厂商送样，可靠性通过后争取重复采购。</x:v>
      </x:c>
      <x:c r="M25" s="13" t="str">
        <x:v>验证周期长，小批量性能能否在批量制造中保持？</x:v>
      </x:c>
      <x:c r="N25" s="15" t="str">
        <x:v>首轮外部融资日期、金额与估值未核；游戏取2016年客户导入及融资前后阶段。</x:v>
      </x:c>
      <x:c r="O25" s="15" t="str">
        <x:v>上市前私募与2020年IPO为不同口径；累计私募总额未核实。</x:v>
      </x:c>
      <x:c r="P25" s="13" t="str">
        <x:f>"教学估值情景。"&amp;TEXT('回报测算'!K30,"0.00")&amp;"倍，净收益率"&amp;TEXT('回报测算'!L30,"0.0%")&amp;"。计算输入及假设见回报测算；不代表已实现现金退出。"</x:f>
        <x:v>教学估值情景。20.00倍，净收益率1900.0%。计算输入及假设见回报测算；不代表已实现现金退出。</x:v>
      </x:c>
    </x:row>
    <x:row r="26" ht="78" customHeight="1">
      <x:c r="A26" s="9" t="str">
        <x:v>因时机器人</x:v>
      </x:c>
      <x:c r="B26" s="9" t="str">
        <x:v>微驱科技</x:v>
      </x:c>
      <x:c r="C26" s="9" t="str">
        <x:v>核心部件</x:v>
      </x:c>
      <x:c r="D26" s="9" t="str">
        <x:v>正式题库（v3撰写）</x:v>
      </x:c>
      <x:c r="E26" s="9" t="str">
        <x:v>把微型电动执行器做成整机厂可采购的部件。</x:v>
      </x:c>
      <x:c r="F26" s="10" t="n">
        <x:v>2017</x:v>
      </x:c>
      <x:c r="G26" s="9" t="str">
        <x:v>蔡颖鹏团队于2016年创办因时机器人，从微型伺服电缸等精密执行部件起步，后续发展灵巧手与相关执行系统。未核实个人学历不补造。</x:v>
      </x:c>
      <x:c r="H26" s="9" t="str">
        <x:v>精密机电工程团队从小型执行器开始，关注体积、推力和可制造性。</x:v>
      </x:c>
      <x:c r="I26" s="9" t="str">
        <x:v>将电驱、传动和多指机构共同设计，追求小型化和批次一致性。后续灵巧手需求放大，但早期卡片只介绍微型执行部件。</x:v>
      </x:c>
      <x:c r="J26" s="9" t="str">
        <x:v>微型电驱与传动一体设计，让有限空间也能实现可控运动。</x:v>
      </x:c>
      <x:c r="K26" s="9" t="str">
        <x:v>标准部件先服务工业及设备客户，再进入机器人整机供应链。后续交付规模与客户采购数据是复盘资料，不能提前放入2017年卡片。</x:v>
      </x:c>
      <x:c r="L26" s="9" t="str">
        <x:v>先服务工业设备和小型机器人，为重复采购建立标准规格。</x:v>
      </x:c>
      <x:c r="M26" s="9" t="str">
        <x:v>客户需要不同尺寸和寿命，标准产品能覆盖多少需求？</x:v>
      </x:c>
      <x:c r="N26" s="12" t="str">
        <x:v>2017年Pre-A为数据库线索，金额与交割日期待补原始来源；本游戏取2017年进入。</x:v>
      </x:c>
      <x:c r="O26" s="12" t="str">
        <x:v>2024年B2超亿元、2025年B3近亿元、2026年C1/C2合计数亿元。旧累计4亿元不作当前已核总额。</x:v>
      </x:c>
      <x:c r="P26" s="9" t="str">
        <x:f>"教学估值情景。"&amp;TEXT('回报测算'!K31,"0.00")&amp;"倍，净收益率"&amp;TEXT('回报测算'!L31,"0.0%")&amp;"。计算输入及假设见回报测算；不代表已实现现金退出。"</x:f>
        <x:v>教学估值情景。20.00倍，净收益率1900.0%。计算输入及假设见回报测算；不代表已实现现金退出。</x:v>
      </x:c>
    </x:row>
    <x:row r="27" ht="78" customHeight="1">
      <x:c r="A27" s="13" t="str">
        <x:v>蓝点触控</x:v>
      </x:c>
      <x:c r="B27" s="13" t="str">
        <x:v>触衡科技</x:v>
      </x:c>
      <x:c r="C27" s="13" t="str">
        <x:v>核心部件</x:v>
      </x:c>
      <x:c r="D27" s="13" t="str">
        <x:v>正式题库（v3撰写）</x:v>
      </x:c>
      <x:c r="E27" s="13" t="str">
        <x:v>让机械臂知道接触时用了多大的力。</x:v>
      </x:c>
      <x:c r="F27" s="14" t="n">
        <x:v>2020</x:v>
      </x:c>
      <x:c r="G27" s="13" t="str">
        <x:v>刘吴月具有西北工业大学与航天力测研发背景，2019年创办蓝点触控。团队从六维力传感器及控制应用切入。</x:v>
      </x:c>
      <x:c r="H27" s="13" t="str">
        <x:v>有航天力测与传感研发经验的团队，把精密测量能力带入机器人。</x:v>
      </x:c>
      <x:c r="I27" s="13" t="str">
        <x:v>六维力传感测量力和力矩，涉及结构、应变测量、补偿和标定，连接机器人接触控制。它与大面积触觉阵列属于不同感知路线。</x:v>
      </x:c>
      <x:c r="J27" s="13" t="str">
        <x:v>测量多个方向的力和力矩，帮助机械臂调整接触动作。</x:v>
      </x:c>
      <x:c r="K27" s="13" t="str">
        <x:v>早期面向打磨、去毛刺等工业工艺，后续拓展机器人力控需求。真实价值要看工艺稳定性、调试和维护成本。</x:v>
      </x:c>
      <x:c r="L27" s="13" t="str">
        <x:v>先做打磨、去毛刺等工序，让客户直接比较工艺效果。</x:v>
      </x:c>
      <x:c r="M27" s="13" t="str">
        <x:v>温漂和标定影响精度，每个工位还要投入多少调试？</x:v>
      </x:c>
      <x:c r="N27" s="15" t="str">
        <x:v>2020年前后天使阶段，单轮金额与投后估值未核；2023年Pre-A公开为数千万元。</x:v>
      </x:c>
      <x:c r="O27" s="15" t="str">
        <x:v>2025年B近亿元、C超亿元，2026年C+超亿元等节点；各轮总额未统一去重。</x:v>
      </x:c>
      <x:c r="P27" s="13" t="str">
        <x:f>"教学估值情景。"&amp;TEXT('回报测算'!K32,"0.00")&amp;"倍，净收益率"&amp;TEXT('回报测算'!L32,"0.0%")&amp;"。计算输入及假设见回报测算；不代表已实现现金退出。"</x:f>
        <x:v>教学估值情景。6.00倍，净收益率500.0%。计算输入及假设见回报测算；不代表已实现现金退出。</x:v>
      </x:c>
    </x:row>
    <x:row r="28" ht="78" customHeight="1">
      <x:c r="A28" s="9" t="str">
        <x:v>帕西尼</x:v>
      </x:c>
      <x:c r="B28" s="9" t="str">
        <x:v>触知科技</x:v>
      </x:c>
      <x:c r="C28" s="9" t="str">
        <x:v>核心部件</x:v>
      </x:c>
      <x:c r="D28" s="9" t="str">
        <x:v>正式题库（v3撰写）</x:v>
      </x:c>
      <x:c r="E28" s="9" t="str">
        <x:v>让机器人的手指感知物体接触的变化。</x:v>
      </x:c>
      <x:c r="F28" s="10" t="n">
        <x:v>2021</x:v>
      </x:c>
      <x:c r="G28" s="9" t="str">
        <x:v>许晋诚具有早稻田大学仿生机器人博士背景，2021年创办帕西尼，早期参加创业孵化与融资。团队从触觉感知延伸到操作硬件。</x:v>
      </x:c>
      <x:c r="H28" s="9" t="str">
        <x:v>仿生机器人研究者与传感工程团队合作，从触觉这一窄问题创业。</x:v>
      </x:c>
      <x:c r="I28" s="9" t="str">
        <x:v>多维触觉感知与机器人结构、控制协同，关注接触分布和操作反馈。与六维腕部力传感区分，不能只按“有触觉”宣称泛化抓取。</x:v>
      </x:c>
      <x:c r="J28" s="9" t="str">
        <x:v>把接触信息分布到多个感知点，辅助控制抓取力度。</x:v>
      </x:c>
      <x:c r="K28" s="9" t="str">
        <x:v>先服务研发和机器人产品团队，再拓展操作硬件及场景合作。客户验证、传感器寿命与制造成本决定可复制交付。</x:v>
      </x:c>
      <x:c r="L28" s="9" t="str">
        <x:v>先为机器人研发团队提供传感器，验证不同物体的抓取。</x:v>
      </x:c>
      <x:c r="M28" s="9" t="str">
        <x:v>传感点越多，标定、布线和长期可靠性会增加多少成本？</x:v>
      </x:c>
      <x:c r="N28" s="12" t="str">
        <x:v>2021年早期奇绩等投资线索；2022年Pre-A近亿元，首轮估值未披露。</x:v>
      </x:c>
      <x:c r="O28" s="12" t="str">
        <x:v>2026年B轮超10亿元，媒体报道估值超100亿元；不同A轮口径未统一去重，不强算累计。</x:v>
      </x:c>
      <x:c r="P28" s="9" t="str">
        <x:f>"教学估值情景。"&amp;TEXT('回报测算'!K33,"0.00")&amp;"倍，净收益率"&amp;TEXT('回报测算'!L33,"0.0%")&amp;"。计算输入及假设见回报测算；不代表已实现现金退出。"</x:f>
        <x:v>教学估值情景。8.00倍，净收益率700.0%。计算输入及假设见回报测算；不代表已实现现金退出。</x:v>
      </x:c>
    </x:row>
    <x:row r="29" ht="78" customHeight="1">
      <x:c r="A29" s="13" t="str">
        <x:v>毫末智行</x:v>
      </x:c>
      <x:c r="B29" s="13" t="str">
        <x:v>远途智驾</x:v>
      </x:c>
      <x:c r="C29" s="13" t="str">
        <x:v>自动驾驶</x:v>
      </x:c>
      <x:c r="D29" s="11" t="str">
        <x:v>人工确认案例</x:v>
      </x:c>
      <x:c r="E29" s="13" t="str">
        <x:v>帮车企把自动驾驶算法装进量产车</x:v>
      </x:c>
      <x:c r="F29" s="14" t="str">
        <x:v>2021</x:v>
      </x:c>
      <x:c r="G29" s="13" t="str">
        <x:v>毫末2019年由长城汽车智能驾驶业务分拆，顾维灏、张凯等团队结合算法与汽车工程。2021年为用户选定游戏进入年，并非公司成立年。</x:v>
      </x:c>
      <x:c r="H29" s="13" t="str">
        <x:v>从国内大型车企智能驾驶业务分拆团队</x:v>
      </x:c>
      <x:c r="I29" s="13" t="str">
        <x:v>推进感知、规划与数据驱动量产辅助驾驶，汽车开发流程与算法迭代共同影响交付。数据规模并不能替代独立客户和现金流。</x:v>
      </x:c>
      <x:c r="J29" s="13" t="str">
        <x:v>团队既懂算法，也熟悉汽车开发和量产流程。</x:v>
      </x:c>
      <x:c r="K29" s="13" t="str">
        <x:v>依托长城车型形成早期客户及量产入口，尝试外部合作。2025年11月媒体报道全员停工，不能据停工直接写成法院宣告破产。</x:v>
      </x:c>
      <x:c r="L29" s="13" t="str">
        <x:v>背后有产业股东，首批车型和客户入口比普通创业公司更明确</x:v>
      </x:c>
      <x:c r="M29" s="13" t="str">
        <x:v>起步客户比较集中，能否拿下其他车企？</x:v>
      </x:c>
      <x:c r="N29" s="15" t="str">
        <x:v>2021年A轮公开报道约10亿元；投后估值和用户实际进入轮次待补，保留2021年进入。</x:v>
      </x:c>
      <x:c r="O29" s="15" t="str">
        <x:v>2023、2024年另有大额融资节点；原表未给可去重累计值。2025年停工报道属于经营挫折证据。</x:v>
      </x:c>
      <x:c r="P29" s="13" t="str">
        <x:f>"人工确认基准。"&amp;TEXT('回报测算'!K34,"0.00")&amp;"倍，净收益率"&amp;TEXT('回报测算'!L34,"0.0%")&amp;"。计算输入及假设见回报测算；不代表已实现现金退出。"</x:f>
        <x:v>人工确认基准。0.00倍，净收益率-100.0%。计算输入及假设见回报测算；不代表已实现现金退出。</x:v>
      </x:c>
    </x:row>
    <x:row r="30" ht="78" customHeight="1">
      <x:c r="A30" s="9" t="str">
        <x:v>Momenta</x:v>
      </x:c>
      <x:c r="B30" s="9" t="str">
        <x:v>路衡智能</x:v>
      </x:c>
      <x:c r="C30" s="9" t="str">
        <x:v>自动驾驶</x:v>
      </x:c>
      <x:c r="D30" s="9" t="str">
        <x:v>正式题库（v3撰写）</x:v>
      </x:c>
      <x:c r="E30" s="9" t="str">
        <x:v>让车辆从更多真实驾驶数据中改进驾驶能力。</x:v>
      </x:c>
      <x:c r="F30" s="10" t="n">
        <x:v>2016</x:v>
      </x:c>
      <x:c r="G30" s="9" t="str">
        <x:v>曹旭东具有清华及微软研究院、AI企业研发经历，2016年创办Momenta。团队围绕数据驱动自动驾驶及车企产品工程组织。</x:v>
      </x:c>
      <x:c r="H30" s="9" t="str">
        <x:v>有视觉和AI研究经历的团队，尝试把学习算法带入汽车产品。</x:v>
      </x:c>
      <x:c r="I30" s="9" t="str">
        <x:v>以数据闭环和学习算法推进量产辅助驾驶与无人驾驶研发，分别面对车端部署、安全和长期迭代要求。</x:v>
      </x:c>
      <x:c r="J30" s="9" t="str">
        <x:v>用量产数据训练感知与驾驶策略，通过反馈持续迭代。</x:v>
      </x:c>
      <x:c r="K30" s="9" t="str">
        <x:v>通过车企合作推进量产业务，同时探索规模化无人驾驶服务。多方合作与技术进展是阶段证据，股权退出需另查交易。</x:v>
      </x:c>
      <x:c r="L30" s="9" t="str">
        <x:v>先与车企共同开发，争取量产车型带来的真实数据入口。</x:v>
      </x:c>
      <x:c r="M30" s="9" t="str">
        <x:v>数据多了是否持续改善，车企导入和安全验证要多久？</x:v>
      </x:c>
      <x:c r="N30" s="12" t="str">
        <x:v>2016年天使融资公开为500万美元级；投后估值未在本轮核实。</x:v>
      </x:c>
      <x:c r="O30" s="12" t="str">
        <x:v>2021年C轮及扩展累计超过10亿美元的公开口径，属于该融资阶段；历年总额与2026交易未统一核。</x:v>
      </x:c>
      <x:c r="P30" s="9" t="str">
        <x:f>"教学估值情景。"&amp;TEXT('回报测算'!K35,"0.00")&amp;"倍，净收益率"&amp;TEXT('回报测算'!L35,"0.0%")&amp;"。计算输入及假设见回报测算；不代表已实现现金退出。"</x:f>
        <x:v>教学估值情景。20.00倍，净收益率1900.0%。计算输入及假设见回报测算；不代表已实现现金退出。</x:v>
      </x:c>
    </x:row>
    <x:row r="31" ht="78" customHeight="1">
      <x:c r="A31" s="13" t="str">
        <x:v>纵目科技</x:v>
      </x:c>
      <x:c r="B31" s="13" t="str">
        <x:v>泊行科技</x:v>
      </x:c>
      <x:c r="C31" s="13" t="str">
        <x:v>自动驾驶</x:v>
      </x:c>
      <x:c r="D31" s="13" t="str">
        <x:v>正式题库（v3撰写）</x:v>
      </x:c>
      <x:c r="E31" s="13" t="str">
        <x:v>让汽车在停车场里自己找到并停进车位。</x:v>
      </x:c>
      <x:c r="F31" s="14" t="n">
        <x:v>2015</x:v>
      </x:c>
      <x:c r="G31" s="13" t="str">
        <x:v>唐锐具有汽车电子及技术创业经历，2013年创办纵目。团队从智能泊车、环视感知逐步发展汽车自动驾驶系统。</x:v>
      </x:c>
      <x:c r="H31" s="13" t="str">
        <x:v>有汽车电子和视觉工程经验的团队，从低速泊车切入自动驾驶。</x:v>
      </x:c>
      <x:c r="I31" s="13" t="str">
        <x:v>以低速泊车切入，结合传感、嵌入式计算与控制，再拓展更复杂驾驶场景。车型定点和研发量产有不同兑现周期。</x:v>
      </x:c>
      <x:c r="J31" s="13" t="str">
        <x:v>摄像头感知、车端计算与泊车控制协同。</x:v>
      </x:c>
      <x:c r="K31" s="13" t="str">
        <x:v>与车企开展产品和车型合作，但长研发周期、项目回款及资金压力影响经营。2026年行业综述提及司法重整，裁定原文仍需补证。</x:v>
      </x:c>
      <x:c r="L31" s="13" t="str">
        <x:v>泊车是车企可选配的功能，先从明确车型项目争取导入。</x:v>
      </x:c>
      <x:c r="M31" s="13" t="str">
        <x:v>车型周期和回款都较长，量产前的研发投入由谁承担？</x:v>
      </x:c>
      <x:c r="N31" s="15" t="str">
        <x:v>首轮具体融资日期与估值未核；游戏取2015年早期泊车业务阶段。</x:v>
      </x:c>
      <x:c r="O31" s="15" t="str">
        <x:v>多轮融资有公开报道，未形成可去重累计表。司法重整不能直接等同停业或普通股实际归零。</x:v>
      </x:c>
      <x:c r="P31" s="13" t="str">
        <x:f>"损失回收情景。"&amp;TEXT('回报测算'!K36,"0.00")&amp;"倍，净收益率"&amp;TEXT('回报测算'!L36,"0.0%")&amp;"。计算输入及假设见回报测算；不代表已实现现金退出。"</x:f>
        <x:v>损失回收情景。0.10倍，净收益率-90.0%。计算输入及假设见回报测算；不代表已实现现金退出。</x:v>
      </x:c>
    </x:row>
    <x:row r="32" ht="78" customHeight="1">
      <x:c r="A32" s="9" t="str">
        <x:v>沐曦</x:v>
      </x:c>
      <x:c r="B32" s="9" t="str">
        <x:v>晨炬芯片</x:v>
      </x:c>
      <x:c r="C32" s="9" t="str">
        <x:v>芯片</x:v>
      </x:c>
      <x:c r="D32" s="11" t="str">
        <x:v>人工确认案例</x:v>
      </x:c>
      <x:c r="E32" s="9" t="str">
        <x:v>给中国的数据中心造一颗自己的计算芯片</x:v>
      </x:c>
      <x:c r="F32" s="10" t="str">
        <x:v>2020</x:v>
      </x:c>
      <x:c r="G32" s="9" t="str">
        <x:v>陈维良、彭莉等具有国际GPU厂商研发与管理经验，2020年创办沐曦。团队在芯片及软件领域的共同工作经历帮助早期工程组织。</x:v>
      </x:c>
      <x:c r="H32" s="9" t="str">
        <x:v>国际 GPU 大厂老将，核心成员共事多年，多款量产 GPU经历</x:v>
      </x:c>
      <x:c r="I32" s="9" t="str">
        <x:v>研发GPU及配套驱动、编译与软件平台，重点是计算性能、兼容与系统迁移。量产芯片和客户工作负载需要持续验证。</x:v>
      </x:c>
      <x:c r="J32" s="9" t="str">
        <x:v>从芯片设计到驱动软件一起做，减少客户迁移成本</x:v>
      </x:c>
      <x:c r="K32" s="9" t="str">
        <x:v>从国内数据中心与算力供应链需求切入，后续推进产品及资本市场准备。本游戏锁定用户指定的2025年Pre-IPO终点，不自动采用最新市值。</x:v>
      </x:c>
      <x:c r="L32" s="9" t="str">
        <x:v>国内数据中心希望增加国产算力供应商</x:v>
      </x:c>
      <x:c r="M32" s="9" t="str">
        <x:v>首款产品仍待验证，研发投入巨大，持续融资有挑战</x:v>
      </x:c>
      <x:c r="N32" s="12" t="str">
        <x:v>人工基准：2020年首轮投后估值4.8亿元人民币，沿用原表。</x:v>
      </x:c>
      <x:c r="O32" s="12" t="str">
        <x:v>人工基准：2025年Pre-IPO估值210亿元人民币。该值是终点估值，不是累计融资；累计私募总额未统一核验。</x:v>
      </x:c>
      <x:c r="P32" s="9" t="str">
        <x:f>"人工确认基准。"&amp;TEXT('回报测算'!K37,"0.00")&amp;"倍，净收益率"&amp;TEXT('回报测算'!L37,"0.0%")&amp;"。计算输入及假设见回报测算；不代表已实现现金退出。"</x:f>
        <x:v>人工确认基准。43.75倍，净收益率4275.0%。计算输入及假设见回报测算；不代表已实现现金退出。</x:v>
      </x:c>
    </x:row>
    <x:row r="33" ht="78" customHeight="1">
      <x:c r="A33" s="13" t="str">
        <x:v>地平线</x:v>
      </x:c>
      <x:c r="B33" s="13" t="str">
        <x:v>车芯科技</x:v>
      </x:c>
      <x:c r="C33" s="13" t="str">
        <x:v>芯片</x:v>
      </x:c>
      <x:c r="D33" s="13" t="str">
        <x:v>正式题库（v3撰写）</x:v>
      </x:c>
      <x:c r="E33" s="13" t="str">
        <x:v>把车辆看懂道路的能力装进低功耗芯片。</x:v>
      </x:c>
      <x:c r="F33" s="14" t="n">
        <x:v>2015</x:v>
      </x:c>
      <x:c r="G33" s="13" t="str">
        <x:v>余凯具有机器学习研究与百度深度学习团队管理经历，2015年创办地平线，与联合团队将算法研究转成车端计算产品。</x:v>
      </x:c>
      <x:c r="H33" s="13" t="str">
        <x:v>机器学习研究与大型科技企业研发管理团队，准备把算法做成车端产品。</x:v>
      </x:c>
      <x:c r="I33" s="13" t="str">
        <x:v>自研AI计算架构和工具链，围绕车端推理、软件与系统协同迭代。模型效果、芯片效率及车规质量共同决定导入。</x:v>
      </x:c>
      <x:c r="J33" s="13" t="str">
        <x:v>AI芯片与软件工具链共同设计，在车内运行感知计算。</x:v>
      </x:c>
      <x:c r="K33" s="13" t="str">
        <x:v>通过车企合作和量产芯片交付扩大业务，2024年在香港上市。定点和出货验证商业进展，盈利与投资者进入价格另算。</x:v>
      </x:c>
      <x:c r="L33" s="13" t="str">
        <x:v>车企需要可量产的智能驾驶计算平台，可联合开发车型。</x:v>
      </x:c>
      <x:c r="M33" s="13" t="str">
        <x:v>定点和车规验证都很长，首代产品能否持续获得资源？</x:v>
      </x:c>
      <x:c r="N33" s="15" t="str">
        <x:v>2015年早期融资有公开报道；精确首轮金额及投后估值未核。</x:v>
      </x:c>
      <x:c r="O33" s="15" t="str">
        <x:v>多轮融资后于2024年港股上市；私募、IPO募资及市值三种口径分开，未核累计私募总額。</x:v>
      </x:c>
      <x:c r="P33" s="13" t="str">
        <x:f>"教学估值情景。"&amp;TEXT('回报测算'!K38,"0.00")&amp;"倍，净收益率"&amp;TEXT('回报测算'!L38,"0.0%")&amp;"。计算输入及假设见回报测算；不代表已实现现金退出。"</x:f>
        <x:v>教学估值情景。20.00倍，净收益率1900.0%。计算输入及假设见回报测算；不代表已实现现金退出。</x:v>
      </x:c>
    </x:row>
    <x:row r="34" ht="78" customHeight="1">
      <x:c r="A34" s="9" t="str">
        <x:v>摩尔线程</x:v>
      </x:c>
      <x:c r="B34" s="9" t="str">
        <x:v>众芯计算</x:v>
      </x:c>
      <x:c r="C34" s="9" t="str">
        <x:v>芯片</x:v>
      </x:c>
      <x:c r="D34" s="9" t="str">
        <x:v>正式题库（v3撰写）</x:v>
      </x:c>
      <x:c r="E34" s="9" t="str">
        <x:v>造一颗兼顾图形与计算的国产GPU。</x:v>
      </x:c>
      <x:c r="F34" s="10" t="n">
        <x:v>2020</x:v>
      </x:c>
      <x:c r="G34" s="9" t="str">
        <x:v>张建中具有英伟达中国管理经历，2020年创办摩尔线程，团队覆盖GPU芯片、软件和产品工程。不能只因人员来自大厂推断量产成功。</x:v>
      </x:c>
      <x:c r="H34" s="9" t="str">
        <x:v>国际GPU企业的研发与管理人员联合创业，覆盖芯片、驱动和系统软件。</x:v>
      </x:c>
      <x:c r="I34" s="9" t="str">
        <x:v>发展全功能GPU、驱动与计算软件生态，后续推出智算系统和工具链。产品规格、实际工作负载与开发者支持需一起验证。</x:v>
      </x:c>
      <x:c r="J34" s="9" t="str">
        <x:v>硬件架构与驱动、开发工具同步设计，降低应用适配负担。</x:v>
      </x:c>
      <x:c r="K34" s="9" t="str">
        <x:v>先服务国产图形及行业计算需求，再向智算系统拓展。2026年官网持续发布GPU与软件产品；本轮不以未核验的最新IPO或市值作为终点。</x:v>
      </x:c>
      <x:c r="L34" s="9" t="str">
        <x:v>先对接需要国产图形和计算能力的设备与行业伙伴。</x:v>
      </x:c>
      <x:c r="M34" s="9" t="str">
        <x:v>应用生态迁移成本高，客户会为了替代供应承担多少适配工作？</x:v>
      </x:c>
      <x:c r="N34" s="12" t="str">
        <x:v>2020年天使阶段与后续Pre-A等节点有公开报道；首轮精确金额和估值未核。</x:v>
      </x:c>
      <x:c r="O34" s="12" t="str">
        <x:v>累计私募、上市募资及市值未统一核；官网产品信息不作为融资金额或真实退出证明。</x:v>
      </x:c>
      <x:c r="P34" s="9" t="str">
        <x:f>"教学估值情景。"&amp;TEXT('回报测算'!K39,"0.00")&amp;"倍，净收益率"&amp;TEXT('回报测算'!L39,"0.0%")&amp;"。计算输入及假设见回报测算；不代表已实现现金退出。"</x:f>
        <x:v>教学估值情景。5.00倍，净收益率400.0%。计算输入及假设见回报测算；不代表已实现现金退出。</x:v>
      </x:c>
    </x:row>
    <x:row r="35" ht="78" customHeight="1">
      <x:c r="A35" s="13" t="str">
        <x:v>哲库科技</x:v>
      </x:c>
      <x:c r="B35" s="13" t="str">
        <x:v>影芯计划</x:v>
      </x:c>
      <x:c r="C35" s="13" t="str">
        <x:v>芯片</x:v>
      </x:c>
      <x:c r="D35" s="13" t="str">
        <x:v>正式题库（v3撰写）</x:v>
      </x:c>
      <x:c r="E35" s="13" t="str">
        <x:v>为手机打造自己的影像计算芯片。</x:v>
      </x:c>
      <x:c r="F35" s="14" t="n">
        <x:v>2019</x:v>
      </x:c>
      <x:c r="G35" s="13" t="str">
        <x:v>OPPO于2019年前后组织自研芯片业务，哲库是企业内孵化体系，吸纳芯片和影像团队。它不是按标准外部VC方式成立并融资的独立案例。</x:v>
      </x:c>
      <x:c r="H35" s="13" t="str">
        <x:v>消费电子企业组织芯片和影像工程师，具有系统产品与供应链资源。</x:v>
      </x:c>
      <x:c r="I35" s="13" t="str">
        <x:v>研发影像专用芯片和相关计算能力，软硬件协同服务手机产品。技术开发完成不代表母公司会长期保留全部投入。</x:v>
      </x:c>
      <x:c r="J35" s="13" t="str">
        <x:v>把影像算法固化到专用芯片，与手机系统联合优化。</x:v>
      </x:c>
      <x:c r="K35" s="13" t="str">
        <x:v>母公司产品提供装机入口，2023年5月12日宣布关停哲库业务。属于战略关停，不据此宣称研发人员无能或技术完全失败。</x:v>
      </x:c>
      <x:c r="L35" s="13" t="str">
        <x:v>母公司产品提供首批装机入口，可直接验证功耗和拍摄体验。</x:v>
      </x:c>
      <x:c r="M35" s="13" t="str">
        <x:v>单一内部客户掌握预算，长期研发方向会不会随战略变化？</x:v>
      </x:c>
      <x:c r="N35" s="15" t="str">
        <x:v>没有可比标准VC首轮；游戏取2019年企业内孵化教学进入，所有股权投资均为虚拟交易。</x:v>
      </x:c>
      <x:c r="O35" s="15" t="str">
        <x:v>母公司研发支出、预算及业务估值不当外部股权融资。本案例无真实累计VC融资口径。</x:v>
      </x:c>
      <x:c r="P35" s="13" t="str">
        <x:f>"损失回收情景。"&amp;TEXT('回报测算'!K40,"0.00")&amp;"倍，净收益率"&amp;TEXT('回报测算'!L40,"0.0%")&amp;"。计算输入及假设见回报测算；不代表已实现现金退出。"</x:f>
        <x:v>损失回收情景。0.00倍，净收益率-100.0%。计算输入及假设见回报测算；不代表已实现现金退出。</x:v>
      </x:c>
    </x:row>
    <x:row r="36" ht="78" customHeight="1">
      <x:c r="A36" s="9" t="str">
        <x:v>月之暗面Kimi</x:v>
      </x:c>
      <x:c r="B36" s="9" t="str">
        <x:v>星光AI</x:v>
      </x:c>
      <x:c r="C36" s="9" t="str">
        <x:v>AI应用与模型</x:v>
      </x:c>
      <x:c r="D36" s="11" t="str">
        <x:v>人工确认案例</x:v>
      </x:c>
      <x:c r="E36" s="9" t="str">
        <x:v>几位研究AI的年轻人，想做一个人人都能用的超级助手。</x:v>
      </x:c>
      <x:c r="F36" s="10" t="str">
        <x:v>2023</x:v>
      </x:c>
      <x:c r="G36" s="9" t="str">
        <x:v>杨植麟、周昕宇、吴育昕于2023年创办月之暗面。团队具有清华及海外研究、AI产品开发经历，将模型研究与用户助手结合。</x:v>
      </x:c>
      <x:c r="H36" s="9" t="str">
        <x:v>国内顶尖高校出身，核心成员兼具海外名校博士和顶级AI实验室经历</x:v>
      </x:c>
      <x:c r="I36" s="9" t="str">
        <x:v>早期以长上下文和文档分析形成辨识度，后续拓展模型与智能体能力。长文本容量、有效理解和推理成本是不同指标。</x:v>
      </x:c>
      <x:c r="J36" s="9" t="str">
        <x:v>在自研大模型上拓展长文本处理能力，支持一次输入十几万字，并对多份文件进行分析。</x:v>
      </x:c>
      <x:c r="K36" s="9" t="str">
        <x:v>2023年推出Kimi后获得个人用户关注，后续探索订阅、API及更广任务入口。用户规模、付费留存与模型训练成本需分别评价。</x:v>
      </x:c>
      <x:c r="L36" s="9" t="str">
        <x:v>读论文、看报告、整理长文档都有明确用途，比“什么都能聊”更容易让用户理解价值。</x:v>
      </x:c>
      <x:c r="M36" s="9" t="str">
        <x:v>如果大厂也能读长文档，这个卖点还能撑多久？</x:v>
      </x:c>
      <x:c r="N36" s="12" t="str">
        <x:v>人工基准：2023年天使轮投后估值3亿美元；具体交割与币种沿用用户口径。</x:v>
      </x:c>
      <x:c r="O36" s="12" t="str">
        <x:v>人工基准：2026年终点估值35亿美元。原表称F轮，轮次与日期待补证；此值不是累计融资。</x:v>
      </x:c>
      <x:c r="P36" s="9" t="str">
        <x:f>"人工确认基准。"&amp;TEXT('回报测算'!K41,"0.00")&amp;"倍，净收益率"&amp;TEXT('回报测算'!L41,"0.0%")&amp;"。计算输入及假设见回报测算；不代表已实现现金退出。"</x:f>
        <x:v>人工确认基准。11.67倍，净收益率1066.7%。计算输入及假设见回报测算；不代表已实现现金退出。</x:v>
      </x:c>
    </x:row>
    <x:row r="37" ht="78" customHeight="1">
      <x:c r="A37" s="13" t="str">
        <x:v>智谱AI</x:v>
      </x:c>
      <x:c r="B37" s="13" t="str">
        <x:v>知衡AI</x:v>
      </x:c>
      <x:c r="C37" s="13" t="str">
        <x:v>AI应用与模型</x:v>
      </x:c>
      <x:c r="D37" s="11" t="str">
        <x:v>人工确认案例</x:v>
      </x:c>
      <x:c r="E37" s="13" t="str">
        <x:v>给企业一个能接入业务、部署在自己服务器里的AI大脑。</x:v>
      </x:c>
      <x:c r="F37" s="14" t="str">
        <x:v>2019</x:v>
      </x:c>
      <x:c r="G37" s="13" t="str">
        <x:v>智谱2019年从清华计算机相关研究体系成果转化，唐杰等学术团队与工程、经营团队共同推进产品。高校背景帮助研究启动，商业交付仍需组织建设。</x:v>
      </x:c>
      <x:c r="H37" s="13" t="str">
        <x:v>国内顶尖高校计算机系成果转化团队，核心成员长期研究知识工程和语言模型。</x:v>
      </x:c>
      <x:c r="I37" s="13" t="str">
        <x:v>从知识工程和语言模型扩展到通用模型、API及本地部署工具。客户适配与标准产品复用程度影响研发与交付成本。</x:v>
      </x:c>
      <x:c r="J37" s="13" t="str">
        <x:v>同时提供通用模型和本地部署方案，支持客户按自己的数据与任务进行适配。</x:v>
      </x:c>
      <x:c r="K37" s="13" t="str">
        <x:v>面向企业和开发者提供模型及解决方案，探索金融、能源、制造等应用。本游戏按人工原表文案与估值基准结算，不宣称2019年已拥有全部后期能力。</x:v>
      </x:c>
      <x:c r="L37" s="13" t="str">
        <x:v>已探索金融、能源、制造等行业应用，以to B业务为主</x:v>
      </x:c>
      <x:c r="M37" s="13" t="str">
        <x:v>公司是否会越来越像一家项目服务商？</x:v>
      </x:c>
      <x:c r="N37" s="15" t="str">
        <x:v>人工基准：2019年首轮投后估值4亿元人民币；交易原文待补证。</x:v>
      </x:c>
      <x:c r="O37" s="15" t="str">
        <x:v>人工终点：2500亿元人民币。原表写“最新市值”，主体、币种及基准日待补证，改为人工终点；累计融资另待核。</x:v>
      </x:c>
      <x:c r="P37" s="13" t="str">
        <x:f>"人工确认基准。"&amp;TEXT('回报测算'!K42,"0.00")&amp;"倍，净收益率"&amp;TEXT('回报测算'!L42,"0.0%")&amp;"。计算输入及假设见回报测算；不代表已实现现金退出。"</x:f>
        <x:v>人工确认基准。625.00倍，净收益率62400.0%。计算输入及假设见回报测算；不代表已实现现金退出。</x:v>
      </x:c>
    </x:row>
    <x:row r="38" ht="78" customHeight="1">
      <x:c r="A38" s="9" t="str">
        <x:v>百川智能</x:v>
      </x:c>
      <x:c r="B38" s="9" t="str">
        <x:v>新语智能</x:v>
      </x:c>
      <x:c r="C38" s="9" t="str">
        <x:v>AI应用与模型</x:v>
      </x:c>
      <x:c r="D38" s="9" t="str">
        <x:v>正式题库（v3撰写）</x:v>
      </x:c>
      <x:c r="E38" s="9" t="str">
        <x:v>把通用语言模型做成可用的中文助手。</x:v>
      </x:c>
      <x:c r="F38" s="10" t="n">
        <x:v>2023</x:v>
      </x:c>
      <x:c r="G38" s="9" t="str">
        <x:v>王小川、茹立云等具有搜狗及互联网产品和经营经历，2023年创办百川，组织模型研究和应用团队。</x:v>
      </x:c>
      <x:c r="H38" s="9" t="str">
        <x:v>有大型互联网产品和组织管理经验的创业者，联合模型研发团队。</x:v>
      </x:c>
      <x:c r="I38" s="9" t="str">
        <x:v>早期训练并开放通用语言模型，后续向医疗相关模型和应用收敛。医疗任务另有事实准确性、工作流及合规验证要求。</x:v>
      </x:c>
      <x:c r="J38" s="9" t="str">
        <x:v>训练通用中文模型，同时考虑推理效率与应用接入。</x:v>
      </x:c>
      <x:c r="K38" s="9" t="str">
        <x:v>通用模型吸引开发者和企业试用后，逐步探索医疗垂直应用。转型是商业选择，不等同已失败或已证明长期盈利。</x:v>
      </x:c>
      <x:c r="L38" s="9" t="str">
        <x:v>先开放模型及工具，吸引开发者和企业试用。</x:v>
      </x:c>
      <x:c r="M38" s="9" t="str">
        <x:v>模型训练费用高，用户愿意为什么独特能力持续付费？</x:v>
      </x:c>
      <x:c r="N38" s="12" t="str">
        <x:v>2023年创办期公开称获得5000万美元启动资金，资金来源与首轮投后估值未核。</x:v>
      </x:c>
      <x:c r="O38" s="12" t="str">
        <x:v>2023年A轮约3亿美元、2024年A轮及扩展公开合计50亿元等口径，存在轮次合并问题；不作去重累计总额。</x:v>
      </x:c>
      <x:c r="P38" s="9" t="str">
        <x:f>"成本持有情景。"&amp;TEXT('回报测算'!K43,"0.00")&amp;"倍，净收益率"&amp;TEXT('回报测算'!L43,"0.0%")&amp;"。计算输入及假设见回报测算；不代表已实现现金退出。"</x:f>
        <x:v>成本持有情景。1.00倍，净收益率0.0%。计算输入及假设见回报测算；不代表已实现现金退出。</x:v>
      </x:c>
    </x:row>
    <x:row r="39" ht="78" customHeight="1">
      <x:c r="A39" s="13" t="str">
        <x:v>VAST</x:v>
      </x:c>
      <x:c r="B39" s="13" t="str">
        <x:v>立物智能</x:v>
      </x:c>
      <x:c r="C39" s="13" t="str">
        <x:v>AI应用与模型</x:v>
      </x:c>
      <x:c r="D39" s="13" t="str">
        <x:v>正式题库（v3撰写）</x:v>
      </x:c>
      <x:c r="E39" s="13" t="str">
        <x:v>用文字和图片生成可编辑的3D模型。</x:v>
      </x:c>
      <x:c r="F39" s="14" t="n">
        <x:v>2023</x:v>
      </x:c>
      <x:c r="G39" s="13" t="str">
        <x:v>VAST为2023年前后创办的Tripo 3D生成公司，团队具有AI与三维图形研发背景。本案例不是GPU租赁vast.ai，也不是美国空间站公司Vast。创始人个人履历未补核，不编造。</x:v>
      </x:c>
      <x:c r="H39" s="13" t="str">
        <x:v>有AI研究和图形产品经验的团队，把生成模型用于三维内容制作。</x:v>
      </x:c>
      <x:c r="I39" s="13" t="str">
        <x:v>研究3D生成模型，将文字和图像转为三维资产。外观质量、几何可编辑性、拓扑和纹理一致性应分别验证。</x:v>
      </x:c>
      <x:c r="J39" s="13" t="str">
        <x:v>从输入描述生成几何与纹理，减少初始建模工作。</x:v>
      </x:c>
      <x:c r="K39" s="13" t="str">
        <x:v>通过Tripo网页工具和API面向创作者与开发者，探索按订阅或调用量收费。商业评价需看留存及生成结果进入生产流程的比例。</x:v>
      </x:c>
      <x:c r="L39" s="13" t="str">
        <x:v>游戏、美术和设计开发者可以先试用，再按工具或API付费。</x:v>
      </x:c>
      <x:c r="M39" s="13" t="str">
        <x:v>模型看起来像成品，拓扑、材质和编辑性是否满足制作流程？</x:v>
      </x:c>
      <x:c r="N39" s="15" t="str">
        <x:v>2023年前后早期融资阶段；首轮金额及投后估值未核实。</x:v>
      </x:c>
      <x:c r="O39" s="15" t="str">
        <x:v>后续融资与公司交易信息未形成可核实的统一累计值；产品网站不作为融资证据。</x:v>
      </x:c>
      <x:c r="P39" s="13" t="str">
        <x:f>"教学估值情景。"&amp;TEXT('回报测算'!K44,"0.00")&amp;"倍，净收益率"&amp;TEXT('回报测算'!L44,"0.0%")&amp;"。计算输入及假设见回报测算；不代表已实现现金退出。"</x:f>
        <x:v>教学估值情景。4.00倍，净收益率300.0%。计算输入及假设见回报测算；不代表已实现现金退出。</x:v>
      </x:c>
    </x:row>
    <x:row r="40" ht="78" customHeight="1">
      <x:c r="A40" s="9" t="str">
        <x:v>群核科技</x:v>
      </x:c>
      <x:c r="B40" s="9" t="str">
        <x:v>空间云图</x:v>
      </x:c>
      <x:c r="C40" s="9" t="str">
        <x:v>AI infra与数据</x:v>
      </x:c>
      <x:c r="D40" s="9" t="str">
        <x:v>正式题库（v3撰写）</x:v>
      </x:c>
      <x:c r="E40" s="9" t="str">
        <x:v>把室内方案快速变成客户看得懂的3D效果图。</x:v>
      </x:c>
      <x:c r="F40" s="10" t="n">
        <x:v>2013</x:v>
      </x:c>
      <x:c r="G40" s="9" t="str">
        <x:v>黄晓煌、陈航、朱皓等具有图形计算和软件工程背景，2011年创办群核科技。酷家乐以室内设计与云渲染形成早期产品。</x:v>
      </x:c>
      <x:c r="H40" s="9" t="str">
        <x:v>图形计算研究与软件工程团队，从设计师的绘图和沟通成本创业。</x:v>
      </x:c>
      <x:c r="I40" s="9" t="str">
        <x:v>空间建模、云渲染和设计软件积累三维资产及工作流，后续向更广空间计算和数据能力延伸。设计资产并不自动适用于机器人训练。</x:v>
      </x:c>
      <x:c r="J40" s="9" t="str">
        <x:v>用云端渲染和空间建模缩短设计反馈时间。</x:v>
      </x:c>
      <x:c r="K40" s="9" t="str">
        <x:v>服务设计师、家居商家及企业客户，形成软件业务基础后探索空间智能及相关数据产品。软件付费与具身客户收入需分开核。</x:v>
      </x:c>
      <x:c r="L40" s="9" t="str">
        <x:v>装修设计师、家居商家和设计公司有重复使用需求。</x:v>
      </x:c>
      <x:c r="M40" s="9" t="str">
        <x:v>小客户付费有限，获客与服务成本能否被订阅覆盖？</x:v>
      </x:c>
      <x:c r="N40" s="12" t="str">
        <x:v>首轮外部融资具体交易未核；游戏取2013年早期设计软件阶段。</x:v>
      </x:c>
      <x:c r="O40" s="12" t="str">
        <x:v>多轮私募有公开报道，未核可去重的累计金额与最新资本市场终点，未据产品官网填写市值。</x:v>
      </x:c>
      <x:c r="P40" s="9" t="str">
        <x:f>"教学估值情景。"&amp;TEXT('回报测算'!K45,"0.00")&amp;"倍，净收益率"&amp;TEXT('回报测算'!L45,"0.0%")&amp;"。计算输入及假设见回报测算；不代表已实现现金退出。"</x:f>
        <x:v>教学估值情景。10.00倍，净收益率900.0%。计算输入及假设见回报测算；不代表已实现现金退出。</x:v>
      </x:c>
    </x:row>
    <x:row r="41" ht="78" customHeight="1">
      <x:c r="A41" s="13" t="str">
        <x:v>Scale AI</x:v>
      </x:c>
      <x:c r="B41" s="13" t="str">
        <x:v>标序数据</x:v>
      </x:c>
      <x:c r="C41" s="13" t="str">
        <x:v>AI infra与数据</x:v>
      </x:c>
      <x:c r="D41" s="13" t="str">
        <x:v>正式题库（v3撰写）</x:v>
      </x:c>
      <x:c r="E41" s="13" t="str">
        <x:v>把模型训练需要的数据做成可靠的服务。</x:v>
      </x:c>
      <x:c r="F41" s="14" t="n">
        <x:v>2021</x:v>
      </x:c>
      <x:c r="G41" s="13" t="str">
        <x:v>Alexandr Wang与Lucy Guo于2016年创办Scale，曾有Quora工作交集并通过Y Combinator创业。游戏为2021年E轮进入，呈现已建立客户与服务组织的团队。</x:v>
      </x:c>
      <x:c r="H41" s="13" t="str">
        <x:v>从数据工具起家的创业团队，已积累工程、质量管理和大型客户服务经验。</x:v>
      </x:c>
      <x:c r="I41" s="13" t="str">
        <x:v>从标注工具和质量流程拓展到专家反馈、模型评测等数据服务。自动化与人工协同，数据质量和交付规模决定价值。</x:v>
      </x:c>
      <x:c r="J41" s="13" t="str">
        <x:v>自动化工具配合人工及专家反馈，建立训练与评测数据流程。</x:v>
      </x:c>
      <x:c r="K41" s="13" t="str">
        <x:v>服务自动驾驶、企业AI与模型客户，2021年E轮融资3.25亿美元、估值73亿美元，2024年F轮融资10亿美元、估值138亿美元。后续Meta交易属于另一时期，不用于本轮回报计算。</x:v>
      </x:c>
      <x:c r="L41" s="13" t="str">
        <x:v>自动驾驶和大模型团队需要持续数据服务，已有企业客户入口。</x:v>
      </x:c>
      <x:c r="M41" s="13" t="str">
        <x:v>大客户若自建数据团队，供应商还能靠什么保持定价权？</x:v>
      </x:c>
      <x:c r="N41" s="15" t="str">
        <x:v>真实首轮早于2021年，首轮估值未核；本游戏取2021年E轮，融资3.25亿美元、估值73亿美元（官方融资公告与Fortune）。</x:v>
      </x:c>
      <x:c r="O41" s="15" t="str">
        <x:v>CNBC于2024-05-21报道F轮融资10亿美元、估值138亿美元，截至该节点累计融资约16亿美元；2025年Meta交易不并入此历史累计口径。</x:v>
      </x:c>
      <x:c r="P41" s="13" t="str">
        <x:f>"公开估值参考。"&amp;TEXT('回报测算'!K46,"0.00")&amp;"倍，净收益率"&amp;TEXT('回报测算'!L46,"0.0%")&amp;"。计算输入及假设见回报测算；不代表已实现现金退出。"</x:f>
        <x:v>公开估值参考。1.89倍，净收益率89.0%。计算输入及假设见回报测算；不代表已实现现金退出。</x:v>
      </x:c>
    </x:row>
    <x:row r="42" ht="78" customHeight="1">
      <x:c r="A42" s="9" t="str">
        <x:v>无问芯穹</x:v>
      </x:c>
      <x:c r="B42" s="9" t="str">
        <x:v>众算平台</x:v>
      </x:c>
      <x:c r="C42" s="9" t="str">
        <x:v>AI infra与数据</x:v>
      </x:c>
      <x:c r="D42" s="9" t="str">
        <x:v>正式题库（v3撰写）</x:v>
      </x:c>
      <x:c r="E42" s="9" t="str">
        <x:v>让AI模型更容易用上不同厂商的算力。</x:v>
      </x:c>
      <x:c r="F42" s="10" t="n">
        <x:v>2023</x:v>
      </x:c>
      <x:c r="G42" s="9" t="str">
        <x:v>2023年创办的无问芯穹由清华研究体系及产业工程团队共同推进，夏立雪等具有算法和系统研发背景。团队连接模型、芯片与云平台能力。</x:v>
      </x:c>
      <x:c r="H42" s="9" t="str">
        <x:v>AI算法、芯片系统与云工程团队合作，关注模型和硬件之间的适配。</x:v>
      </x:c>
      <x:c r="I42" s="9" t="str">
        <x:v>发展异构算力适配和模型基础设施，关注多模型、多芯片及资源调度。宣称兼容不等于所有模型在所有芯片上性能相同。</x:v>
      </x:c>
      <x:c r="J42" s="9" t="str">
        <x:v>把模型执行、资源调度和异构硬件适配放在同一平台。</x:v>
      </x:c>
      <x:c r="K42" s="9" t="str">
        <x:v>面向AI研发者与算力伙伴提供平台及工程服务，后续扩展算力资源和产品。客户使用、利用率、毛利与融资是不同证据。</x:v>
      </x:c>
      <x:c r="L42" s="9" t="str">
        <x:v>先服务模型团队和算力运营方，降低迁移和资源闲置成本。</x:v>
      </x:c>
      <x:c r="M42" s="9" t="str">
        <x:v>每种芯片都要适配，平台收益能否覆盖持续工程投入？</x:v>
      </x:c>
      <x:c r="N42" s="12" t="str">
        <x:v>2023年天使融资公开为数亿元级，精确金额与投后估值未核。</x:v>
      </x:c>
      <x:c r="O42" s="12" t="str">
        <x:v>2024年A轮近5亿元为公开节点；后续轮次及资源采购未统一去重，累计融资总额未核。</x:v>
      </x:c>
      <x:c r="P42" s="9" t="str">
        <x:f>"教学估值情景。"&amp;TEXT('回报测算'!K47,"0.00")&amp;"倍，净收益率"&amp;TEXT('回报测算'!L47,"0.0%")&amp;"。计算输入及假设见回报测算；不代表已实现现金退出。"</x:f>
        <x:v>教学估值情景。3.00倍，净收益率200.0%。计算输入及假设见回报测算；不代表已实现现金退出。</x:v>
      </x:c>
    </x:row>
    <x:row r="43" ht="78" customHeight="1">
      <x:c r="A43" s="13" t="str">
        <x:v>硅基流动</x:v>
      </x:c>
      <x:c r="B43" s="13" t="str">
        <x:v>推理工坊</x:v>
      </x:c>
      <x:c r="C43" s="13" t="str">
        <x:v>AI infra与数据</x:v>
      </x:c>
      <x:c r="D43" s="13" t="str">
        <x:v>正式题库（v3撰写）</x:v>
      </x:c>
      <x:c r="E43" s="13" t="str">
        <x:v>把开源模型变成便宜、易调用的推理服务。</x:v>
      </x:c>
      <x:c r="F43" s="14" t="n">
        <x:v>2024</x:v>
      </x:c>
      <x:c r="G43" s="13" t="str">
        <x:v>袁进辉具有微软及OneFlow等深度学习系统研发和创业经历，2023年创办硅基流动，团队从工程效率和推理服务切入。</x:v>
      </x:c>
      <x:c r="H43" s="13" t="str">
        <x:v>有开源深度学习工具和工程产品经验的团队，专注模型运行效率。</x:v>
      </x:c>
      <x:c r="I43" s="13" t="str">
        <x:v>围绕推理引擎、模型适配、调度和服务接口降低运行成本。延迟、吞吐、稳定性和单位成本需要在实际工作负载下比较。</x:v>
      </x:c>
      <x:c r="J43" s="13" t="str">
        <x:v>优化推理引擎与调度，用统一接口接入多类模型。</x:v>
      </x:c>
      <x:c r="K43" s="13" t="str">
        <x:v>以开源模型推理API吸引开发者和企业接入，后续平台使用增长。调用量、收入与毛利不能互相替代。</x:v>
      </x:c>
      <x:c r="L43" s="13" t="str">
        <x:v>开发者可先调用API，减少自建服务和运维工作。</x:v>
      </x:c>
      <x:c r="M43" s="13" t="str">
        <x:v>同行同时降价，规模增长能否留下稳定毛利？</x:v>
      </x:c>
      <x:c r="N43" s="15" t="str">
        <x:v>2024年早期融资有公开线索，首轮精确金额与投后估值未核。</x:v>
      </x:c>
      <x:c r="O43" s="15" t="str">
        <x:v>后续融资节点未形成统一去重累计表；官网模型数量和调用规模不作为融资金额。</x:v>
      </x:c>
      <x:c r="P43" s="13" t="str">
        <x:f>"教学估值情景。"&amp;TEXT('回报测算'!K48,"0.00")&amp;"倍，净收益率"&amp;TEXT('回报测算'!L48,"0.0%")&amp;"。计算输入及假设见回报测算；不代表已实现现金退出。"</x:f>
        <x:v>教学估值情景。2.50倍，净收益率150.0%。计算输入及假设见回报测算；不代表已实现现金退出。</x:v>
      </x:c>
    </x:row>
    <x:row r="44" ht="78" customHeight="1">
      <x:c r="A44" s="9" t="str">
        <x:v>光轮智能</x:v>
      </x:c>
      <x:c r="B44" s="9" t="str">
        <x:v>仿境数据</x:v>
      </x:c>
      <x:c r="C44" s="9" t="str">
        <x:v>AI infra与数据</x:v>
      </x:c>
      <x:c r="D44" s="9" t="str">
        <x:v>正式题库（v3撰写）</x:v>
      </x:c>
      <x:c r="E44" s="9" t="str">
        <x:v>在虚拟环境中生成机器人训练用的场景和数据。</x:v>
      </x:c>
      <x:c r="F44" s="10" t="n">
        <x:v>2023</x:v>
      </x:c>
      <x:c r="G44" s="9" t="str">
        <x:v>2023年创办的光轮智能由仿真、AI及产品工程团队组成，早期获辰韬、奇绩等支持。个人学历和未核实职位不编造。</x:v>
      </x:c>
      <x:c r="H44" s="9" t="str">
        <x:v>有仿真、AI与工程产品经验的团队，从客户反复搭建实验环境的成本切入。</x:v>
      </x:c>
      <x:c r="I44" s="9" t="str">
        <x:v>以仿真资产、合成数据与评测构建训练基础设施。物理有效性、任务覆盖和真机迁移是核心指标，渲染质量不等于训练可用。</x:v>
      </x:c>
      <x:c r="J44" s="9" t="str">
        <x:v>制作可交互资产和物理场景，配合评测比较策略效果。</x:v>
      </x:c>
      <x:c r="K44" s="9" t="str">
        <x:v>面向机器人及相关研发客户提供数据和仿真产品，后续扩展订单和交付。2026年公司宣传Q1订单超1亿美元不当作确认收入。</x:v>
      </x:c>
      <x:c r="L44" s="9" t="str">
        <x:v>先为机器人研发团队提供场景、数据和评测服务。</x:v>
      </x:c>
      <x:c r="M44" s="9" t="str">
        <x:v>虚拟结果若不能迁移到真机，客户会继续为数据付费吗？</x:v>
      </x:c>
      <x:c r="N44" s="12" t="str">
        <x:v>2023年种子及天使阶段，金额未披露，不把两个阶段当作单笔首轮。</x:v>
      </x:c>
      <x:c r="O44" s="12" t="str">
        <x:v>2026年A++/A+++合计10亿元为公开合并口径；累计融资、订单与收入分别记录，不强算总额。</x:v>
      </x:c>
      <x:c r="P44" s="9" t="str">
        <x:f>"成本持有情景。"&amp;TEXT('回报测算'!K49,"0.00")&amp;"倍，净收益率"&amp;TEXT('回报测算'!L49,"0.0%")&amp;"。计算输入及假设见回报测算；不代表已实现现金退出。"</x:f>
        <x:v>成本持有情景。1.00倍，净收益率0.0%。计算输入及假设见回报测算；不代表已实现现金退出。</x:v>
      </x:c>
    </x:row>
    <x:row r="45" ht="78" customHeight="1">
      <x:c r="A45" s="13" t="str">
        <x:v>本源量子</x:v>
      </x:c>
      <x:c r="B45" s="13" t="str">
        <x:v>量算工坊</x:v>
      </x:c>
      <x:c r="C45" s="13" t="str">
        <x:v>量子科技</x:v>
      </x:c>
      <x:c r="D45" s="13" t="str">
        <x:v>正式题库（v3撰写）</x:v>
      </x:c>
      <x:c r="E45" s="13" t="str">
        <x:v>把量子芯片、测控和软件组成可访问的计算系统。</x:v>
      </x:c>
      <x:c r="F45" s="14" t="n">
        <x:v>2017</x:v>
      </x:c>
      <x:c r="G45" s="13" t="str">
        <x:v>郭光灿、郭国平等来自中国科学技术大学量子研究体系，2017年创办本源量子，组织硬件、测控与软件工程。</x:v>
      </x:c>
      <x:c r="H45" s="13" t="str">
        <x:v>量子研究团队与工程人员合作，尝试把实验室系统产品化。</x:v>
      </x:c>
      <x:c r="I45" s="13" t="str">
        <x:v>围绕超导量子芯片、测控系统和量子软件构建计算平台，并提供量子云实验。系统可用与广泛商业量子优势是不同层级证据。</x:v>
      </x:c>
      <x:c r="J45" s="13" t="str">
        <x:v>同时研发芯片、控制电子学与软件，支持量子实验运行。</x:v>
      </x:c>
      <x:c r="K45" s="13" t="str">
        <x:v>科研、教育与计算试验形成早期入口，后续推进整机和云服务。仍不能把设备交付推为已证明广泛产业加速。</x:v>
      </x:c>
      <x:c r="L45" s="13" t="str">
        <x:v>科研机构和高校可先采购系统或通过云端开展实验。</x:v>
      </x:c>
      <x:c r="M45" s="13" t="str">
        <x:v>产业周期很长，哪些任务会在可接受成本下体现量子价值？</x:v>
      </x:c>
      <x:c r="N45" s="15" t="str">
        <x:v>2017年前后早期阶段，首轮交易日期、金额和估值未核。</x:v>
      </x:c>
      <x:c r="O45" s="15" t="str">
        <x:v>2022年B轮近10亿元为公开节点；累计总额与本轮估值未统一核，量子云访问量不当营收。</x:v>
      </x:c>
      <x:c r="P45" s="13" t="str">
        <x:f>"成本持有情景。"&amp;TEXT('回报测算'!K50,"0.00")&amp;"倍，净收益率"&amp;TEXT('回报测算'!L50,"0.0%")&amp;"。计算输入及假设见回报测算；不代表已实现现金退出。"</x:f>
        <x:v>成本持有情景。1.00倍，净收益率0.0%。计算输入及假设见回报测算；不代表已实现现金退出。</x:v>
      </x:c>
    </x:row>
    <x:row r="46" ht="78" customHeight="1">
      <x:c r="A46" s="9" t="str">
        <x:v>国仪量子</x:v>
      </x:c>
      <x:c r="B46" s="9" t="str">
        <x:v>精测仪器</x:v>
      </x:c>
      <x:c r="C46" s="9" t="str">
        <x:v>量子科技</x:v>
      </x:c>
      <x:c r="D46" s="9" t="str">
        <x:v>正式题库（v3撰写）</x:v>
      </x:c>
      <x:c r="E46" s="9" t="str">
        <x:v>用量子测量能力做科研和工业可用的精密仪器。</x:v>
      </x:c>
      <x:c r="F46" s="10" t="n">
        <x:v>2018</x:v>
      </x:c>
      <x:c r="G46" s="9" t="str">
        <x:v>国仪2016年由中国科学技术大学相关量子与仪器研究团队发起，贺羽、杜江峰等研究及产业化力量推动精密测量产品。</x:v>
      </x:c>
      <x:c r="H46" s="9" t="str">
        <x:v>量子与精密测量研究者，联合仪器工程团队从具体检测需求起步。</x:v>
      </x:c>
      <x:c r="I46" s="9" t="str">
        <x:v>以量子精密测量及科学仪器为业务，涉及电子顺磁共振等产品。该路线不同于本源的通用量子计算，不按计算优势评价仪器价值。</x:v>
      </x:c>
      <x:c r="J46" s="9" t="str">
        <x:v>把量子测量、电子学和实验软件组合成可重复使用的设备。</x:v>
      </x:c>
      <x:c r="K46" s="9" t="str">
        <x:v>从高校、研究所和材料等客户形成仪器销售，官网确认2026年8月11日科创板上市，证券代码688828。设备业务、上市和股东回报分别核算。</x:v>
      </x:c>
      <x:c r="L46" s="9" t="str">
        <x:v>先向高校、研究所及材料客户销售仪器，验证测量效果。</x:v>
      </x:c>
      <x:c r="M46" s="9" t="str">
        <x:v>仪器售后和应用支持很重，产品标准化能覆盖多少需求？</x:v>
      </x:c>
      <x:c r="N46" s="12" t="str">
        <x:v>首轮精确交易日期和估值未核；游戏取2018年早期仪器业务阶段。</x:v>
      </x:c>
      <x:c r="O46" s="12" t="str">
        <x:v>已获多轮私募并于2026-08-11科创板上市；累计私募与IPO募资金额未统一核。</x:v>
      </x:c>
      <x:c r="P46" s="9" t="str">
        <x:f>"教学估值情景。"&amp;TEXT('回报测算'!K51,"0.00")&amp;"倍，净收益率"&amp;TEXT('回报测算'!L51,"0.0%")&amp;"。计算输入及假设见回报测算；不代表已实现现金退出。"</x:f>
        <x:v>教学估值情景。6.00倍，净收益率500.0%。计算输入及假设见回报测算；不代表已实现现金退出。</x:v>
      </x:c>
    </x:row>
    <x:row r="47" ht="78" customHeight="1">
      <x:c r="A47" s="13" t="str">
        <x:v>强脑科技</x:v>
      </x:c>
      <x:c r="B47" s="13" t="str">
        <x:v>意行科技</x:v>
      </x:c>
      <x:c r="C47" s="13" t="str">
        <x:v>脑机与神经技术</x:v>
      </x:c>
      <x:c r="D47" s="13" t="str">
        <x:v>正式题库（v3撰写）</x:v>
      </x:c>
      <x:c r="E47" s="13" t="str">
        <x:v>把可采集的生理信号转成设备控制指令。</x:v>
      </x:c>
      <x:c r="F47" s="14" t="n">
        <x:v>2015</x:v>
      </x:c>
      <x:c r="G47" s="13" t="str">
        <x:v>韩璧丞具有哈佛脑科学研究背景，2015年创办BrainCo强脑，团队逐步覆盖神经信号、算法、硬件和仿生产品。</x:v>
      </x:c>
      <x:c r="H47" s="13" t="str">
        <x:v>脑科学研究者与软硬件团队，探索从实验到可佩戴产品的转换。</x:v>
      </x:c>
      <x:c r="I47" s="13" t="str">
        <x:v>发展脑电相关设备、智能仿生及机器人手产品。脑电、肌电与机械手控制分别解释，不把所有产品统称“读脑”。</x:v>
      </x:c>
      <x:c r="J47" s="13" t="str">
        <x:v>用传感器采集信号，再训练算法辨认可用于交互的模式。</x:v>
      </x:c>
      <x:c r="K47" s="13" t="str">
        <x:v>从研究、训练与交互产品探索付费入口，后续发展仿生和康复相关产品。医疗效果、设备注册和一般产品能力应分开说明。</x:v>
      </x:c>
      <x:c r="L47" s="13" t="str">
        <x:v>从研究和训练应用验证设备，逐步寻找康复及辅助交互需求。</x:v>
      </x:c>
      <x:c r="M47" s="13" t="str">
        <x:v>个体差异和信号噪声很大，效果能否跨用户稳定复现？</x:v>
      </x:c>
      <x:c r="N47" s="15" t="str">
        <x:v>2015年前后早期阶段，首轮精确金额及投后估值未核；游戏取2015年进入。</x:v>
      </x:c>
      <x:c r="O47" s="15" t="str">
        <x:v>公开多轮融资线索未形成统一去重总额；不把产品宣传或用户故事当作临床审批证据。</x:v>
      </x:c>
      <x:c r="P47" s="13" t="str">
        <x:f>"成本持有情景。"&amp;TEXT('回报测算'!K52,"0.00")&amp;"倍，净收益率"&amp;TEXT('回报测算'!L52,"0.0%")&amp;"。计算输入及假设见回报测算；不代表已实现现金退出。"</x:f>
        <x:v>成本持有情景。1.00倍，净收益率0.0%。计算输入及假设见回报测算；不代表已实现现金退出。</x:v>
      </x:c>
    </x:row>
    <x:row r="48" ht="78" customHeight="1">
      <x:c r="A48" s="9" t="str">
        <x:v>博睿康</x:v>
      </x:c>
      <x:c r="B48" s="9" t="str">
        <x:v>神经工坊</x:v>
      </x:c>
      <x:c r="C48" s="9" t="str">
        <x:v>脑机与神经技术</x:v>
      </x:c>
      <x:c r="D48" s="9" t="str">
        <x:v>正式题库（v3撰写）</x:v>
      </x:c>
      <x:c r="E48" s="9" t="str">
        <x:v>把神经信号采集做成研究者能稳定使用的设备。</x:v>
      </x:c>
      <x:c r="F48" s="10" t="n">
        <x:v>2015</x:v>
      </x:c>
      <x:c r="G48" s="9" t="str">
        <x:v>博睿康2011年创办，团队结合神经科学、电子工程及仪器产品研发。以神经信号设备服务研究与临床需求，未补造创始人具体学历。</x:v>
      </x:c>
      <x:c r="H48" s="9" t="str">
        <x:v>神经科学与电子工程团队，从信号采集和实验流程的具体问题起步。</x:v>
      </x:c>
      <x:c r="I48" s="9" t="str">
        <x:v>发展神经信号采集及脑机系统，官网包含无创和微创等产品方向。每类系统对应不同信号、应用及注册要求，不能声称全部植入产品获批。</x:v>
      </x:c>
      <x:c r="J48" s="9" t="str">
        <x:v>采集硬件配合实验软件，关注噪声、同步和信号质量。</x:v>
      </x:c>
      <x:c r="K48" s="9" t="str">
        <x:v>设备和科研实验系统先形成客户，再扩展医院及临床平台合作。科研销售、临床试验与获批商业化应分别列证据。</x:v>
      </x:c>
      <x:c r="L48" s="9" t="str">
        <x:v>高校、医院和研究机构有设备采购及技术服务需求。</x:v>
      </x:c>
      <x:c r="M48" s="9" t="str">
        <x:v>科研设备市场有限，走向临床系统需要多久验证和审批？</x:v>
      </x:c>
      <x:c r="N48" s="12" t="str">
        <x:v>首轮公开融资日期及估值未核；游戏取2015年设备业务早期阶段。</x:v>
      </x:c>
      <x:c r="O48" s="12" t="str">
        <x:v>后续多轮融资未形成统一去重表；不把临床合作、试验或设备收入直接写成融资。</x:v>
      </x:c>
      <x:c r="P48" s="9" t="str">
        <x:f>"教学估值情景。"&amp;TEXT('回报测算'!K53,"0.00")&amp;"倍，净收益率"&amp;TEXT('回报测算'!L53,"0.0%")&amp;"。计算输入及假设见回报测算；不代表已实现现金退出。"</x:f>
        <x:v>教学估值情景。5.00倍，净收益率400.0%。计算输入及假设见回报测算；不代表已实现现金退出。</x:v>
      </x:c>
    </x:row>
    <x:row r="49" ht="78" customHeight="1">
      <x:c r="A49" s="13" t="str">
        <x:v>蓝箭航天</x:v>
      </x:c>
      <x:c r="B49" s="13" t="str">
        <x:v>燃舟航天</x:v>
      </x:c>
      <x:c r="C49" s="13" t="str">
        <x:v>商业航天</x:v>
      </x:c>
      <x:c r="D49" s="13" t="str">
        <x:v>正式题库（v3撰写）</x:v>
      </x:c>
      <x:c r="E49" s="13" t="str">
        <x:v>造一枚以液氧甲烷为动力的商业运载火箭。</x:v>
      </x:c>
      <x:c r="F49" s="14" t="n">
        <x:v>2016</x:v>
      </x:c>
      <x:c r="G49" s="13" t="str">
        <x:v>张昌武于2015年创办蓝箭，组织航天工程、制造和运营团队。创始人的产业组织角色不写成未核实的火箭科学家履历。</x:v>
      </x:c>
      <x:c r="H49" s="13" t="str">
        <x:v>航天工程团队与产业组织人员合作，准备从发动机到整箭逐步验证。</x:v>
      </x:c>
      <x:c r="I49" s="13" t="str">
        <x:v>从运载能力探索走向液氧甲烷发动机与整箭系统。朱雀二号经历首发失利后于2023年成功入轨，后续推进更大运力与复用研发。</x:v>
      </x:c>
      <x:c r="J49" s="13" t="str">
        <x:v>研发发动机、推进系统与整箭控制，按测试结果迭代。</x:v>
      </x:c>
      <x:c r="K49" s="13" t="str">
        <x:v>面向卫星发射市场，发射成功是服务能力的阶段验证，商业盈利还取决于可靠性、频次、单次成本和客户合同。首发失利不定性为企业失败。</x:v>
      </x:c>
      <x:c r="L49" s="13" t="str">
        <x:v>面向未来卫星客户争取发射合同，先验证运输能力和可靠性。</x:v>
      </x:c>
      <x:c r="M49" s="13" t="str">
        <x:v>发射频次若不足，重资产和研发投入怎样摊薄？</x:v>
      </x:c>
      <x:c r="N49" s="15" t="str">
        <x:v>2016年前后早期融资阶段，首轮精确金额及投后估值未核。</x:v>
      </x:c>
      <x:c r="O49" s="15" t="str">
        <x:v>2020年C+轮12亿元等公开节点；后续融资和最新估值未统一核验，不以规划投资代替股权融资。</x:v>
      </x:c>
      <x:c r="P49" s="13" t="str">
        <x:f>"教学估值情景。"&amp;TEXT('回报测算'!K54,"0.00")&amp;"倍，净收益率"&amp;TEXT('回报测算'!L54,"0.0%")&amp;"。计算输入及假设见回报测算；不代表已实现现金退出。"</x:f>
        <x:v>教学估值情景。8.00倍，净收益率700.0%。计算输入及假设见回报测算；不代表已实现现金退出。</x:v>
      </x:c>
    </x:row>
    <x:row r="50" ht="78" customHeight="1">
      <x:c r="A50" s="9" t="str">
        <x:v>银河航天</x:v>
      </x:c>
      <x:c r="B50" s="9" t="str">
        <x:v>星联通信</x:v>
      </x:c>
      <x:c r="C50" s="9" t="str">
        <x:v>商业航天</x:v>
      </x:c>
      <x:c r="D50" s="9" t="str">
        <x:v>正式题库（v3撰写）</x:v>
      </x:c>
      <x:c r="E50" s="9" t="str">
        <x:v>把通信载荷做进可批量制造的卫星。</x:v>
      </x:c>
      <x:c r="F50" s="10" t="n">
        <x:v>2018</x:v>
      </x:c>
      <x:c r="G50" s="9" t="str">
        <x:v>徐鸣具有互联网及科技创业背景，2018年创办银河航天，团队吸纳卫星、通信与制造工程人员。创业管理与航天专业分工不同。</x:v>
      </x:c>
      <x:c r="H50" s="9" t="str">
        <x:v>有科技企业创业与卫星工程经验的团队，联合建设载荷和制造能力。</x:v>
      </x:c>
      <x:c r="I50" s="9" t="str">
        <x:v>研发通信载荷、卫星平台和批量制造能力，推进低轨通信验证。卫星研制交付、成功发射和完整商业网络分属不同阶段。</x:v>
      </x:c>
      <x:c r="J50" s="9" t="str">
        <x:v>通信载荷、卫星平台与地面验证共同设计。</x:v>
      </x:c>
      <x:c r="K50" s="9" t="str">
        <x:v>从卫星研制与通信试验切入，官网截至2026年9月已有交付及发射进展。客户采购和组网能力不直接代表持续盈利或股权退出。</x:v>
      </x:c>
      <x:c r="L50" s="9" t="str">
        <x:v>先服务卫星研制和通信试验客户，再验证组网需求。</x:v>
      </x:c>
      <x:c r="M50" s="9" t="str">
        <x:v>单颗卫星可用之后，批量成本和频谱、网络资源怎样解决？</x:v>
      </x:c>
      <x:c r="N50" s="12" t="str">
        <x:v>2018年前后天使阶段，精确首轮金额及投后估值未核。</x:v>
      </x:c>
      <x:c r="O50" s="12" t="str">
        <x:v>2022年融资公开报道投后估值约110亿元，具体交易与后续累计金额未统一核；本表不把该估值当融资额。</x:v>
      </x:c>
      <x:c r="P50" s="9" t="str">
        <x:f>"成本持有情景。"&amp;TEXT('回报测算'!K55,"0.00")&amp;"倍，净收益率"&amp;TEXT('回报测算'!L55,"0.0%")&amp;"。计算输入及假设见回报测算；不代表已实现现金退出。"</x:f>
        <x:v>成本持有情景。1.00倍，净收益率0.0%。计算输入及假设见回报测算；不代表已实现现金退出。</x:v>
      </x:c>
    </x:row>
    <x:row r="51" ht="78" customHeight="1">
      <x:c r="A51" s="13" t="str">
        <x:v>维珍轨道（Virgin Orbit）</x:v>
      </x:c>
      <x:c r="B51" s="13" t="str">
        <x:v>巡空发射</x:v>
      </x:c>
      <x:c r="C51" s="13" t="str">
        <x:v>商业航天</x:v>
      </x:c>
      <x:c r="D51" s="13" t="str">
        <x:v>正式题库（v3撰写）</x:v>
      </x:c>
      <x:c r="E51" s="13" t="str">
        <x:v>从大型飞机释放火箭，为小卫星提供发射服务。</x:v>
      </x:c>
      <x:c r="F51" s="14" t="n">
        <x:v>2021</x:v>
      </x:c>
      <x:c r="G51" s="13" t="str">
        <x:v>Virgin Orbit于2017年从Virgin Galactic相关业务分出，依托维珍航空品牌及火箭工程团队。游戏取2021年SPAC交易时点，已有发射验证。</x:v>
      </x:c>
      <x:c r="H51" s="13" t="str">
        <x:v>有航空品牌和火箭工程资源的团队，已完成系统开发与发射验证。</x:v>
      </x:c>
      <x:c r="I51" s="13" t="str">
        <x:v>以改装波音747载机释放LauncherOne火箭，空射提供部署灵活性，但仍面临运力、可靠性与固定成本约束。</x:v>
      </x:c>
      <x:c r="J51" s="13" t="str">
        <x:v>利用载机与火箭协同，尝试提高发射地点和任务安排灵活性。</x:v>
      </x:c>
      <x:c r="K51" s="13" t="str">
        <x:v>2021年通过SPAC交易上市，交易估值约37亿美元。发射频次和资金不足，2023年4月申请破产保护，5月资产拍卖后停运。不是Virgin Galactic全集团结局。</x:v>
      </x:c>
      <x:c r="L51" s="13" t="str">
        <x:v>小卫星客户需要发射窗口，可按任务购买运输服务。</x:v>
      </x:c>
      <x:c r="M51" s="13" t="str">
        <x:v>客户规模和发射频次能否覆盖飞机、火箭及运维的固定成本？</x:v>
      </x:c>
      <x:c r="N51" s="15" t="str">
        <x:v>真实早期资金来自集团及后续投资，非2021年首轮；游戏取2021年SPAC阶段，交易估值约37亿美元。</x:v>
      </x:c>
      <x:c r="O51" s="15" t="str">
        <x:v>上市融资、集团资金与后续债务不能合并为股权累计。2023年资产拍卖价属于资产处置，不是普通股终值。</x:v>
      </x:c>
      <x:c r="P51" s="13" t="str">
        <x:f>"损失回收情景。"&amp;TEXT('回报测算'!K56,"0.00")&amp;"倍，净收益率"&amp;TEXT('回报测算'!L56,"0.0%")&amp;"。计算输入及假设见回报测算；不代表已实现现金退出。"</x:f>
        <x:v>损失回收情景。0.00倍，净收益率-100.0%。计算输入及假设见回报测算；不代表已实现现金退出。</x:v>
      </x:c>
    </x:row>
  </x:sheetData>
  <x:pageMargins left="0.7" right="0.7" top="0.75" bottom="0.75" header="0.3" footer="0.3"/>
  <x:tableParts count="1">
    <x:tablePart xmlns:r="http://schemas.openxmlformats.org/officeDocument/2006/relationships" r:id="R071beee2af1a4a74"/>
  </x:tableParts>
</x:worksheet>
</file>

<file path=xl/worksheets/sheet2.xml><?xml version="1.0" encoding="utf-8"?>
<x:worksheet xmlns:x="http://schemas.openxmlformats.org/spreadsheetml/2006/main">
  <x:sheetPr>
    <x:tabColor rgb="FF47717A"/>
  </x:sheetPr>
  <x:sheetViews>
    <x:sheetView showGridLines="0" workbookViewId="0">
      <x:pane xSplit="2" ySplit="6" topLeftCell="C7" activePane="bottomRight" state="frozen"/>
    </x:sheetView>
  </x:sheetViews>
  <x:sheetFormatPr defaultRowHeight="15"/>
  <x:cols>
    <x:col min="1" max="1" width="10" hidden="0" customWidth="1"/>
    <x:col min="2" max="2" width="29" hidden="0" customWidth="1"/>
    <x:col min="3" max="3" width="14" hidden="0" customWidth="1"/>
    <x:col min="4" max="4" width="30" hidden="0" customWidth="1"/>
    <x:col min="5" max="5" width="22" hidden="0" customWidth="1"/>
    <x:col min="6" max="6" width="19" hidden="0" customWidth="1"/>
    <x:col min="7" max="7" width="20" hidden="0" customWidth="1"/>
    <x:col min="8" max="8" width="20" hidden="0" customWidth="1"/>
    <x:col min="9" max="9" width="19" hidden="0" customWidth="1"/>
    <x:col min="10" max="10" width="18" hidden="0" customWidth="1"/>
    <x:col min="11" max="11" width="16" hidden="0" customWidth="1"/>
    <x:col min="12" max="12" width="16" hidden="0" customWidth="1"/>
    <x:col min="13" max="13" width="21" hidden="0" customWidth="1"/>
    <x:col min="14" max="14" width="23" hidden="0" customWidth="1"/>
    <x:col min="15" max="15" width="23" hidden="0" customWidth="1"/>
    <x:col min="16" max="16" width="34" hidden="0" customWidth="1"/>
    <x:col min="17" max="17" width="18" hidden="0" customWidth="1"/>
    <x:col min="18" max="18" width="69" hidden="0" customWidth="1"/>
  </x:cols>
  <x:sheetData>
    <x:row r="1" ht="30" customHeight="1">
      <x:c r="A1" s="17" t="str">
        <x:v>具身VC投资模拟器 v3 投资回报测算</x:v>
      </x:c>
      <x:c r="B1" s="17"/>
      <x:c r="C1" s="17"/>
      <x:c r="D1" s="17"/>
      <x:c r="E1" s="17"/>
      <x:c r="F1" s="17"/>
      <x:c r="G1" s="17"/>
      <x:c r="H1" s="17"/>
      <x:c r="I1" s="17"/>
      <x:c r="J1" s="17"/>
      <x:c r="K1" s="17"/>
      <x:c r="L1" s="17"/>
      <x:c r="M1" s="3"/>
      <x:c r="N1" s="3"/>
      <x:c r="O1" s="3"/>
      <x:c r="P1" s="3"/>
      <x:c r="Q1" s="3"/>
      <x:c r="R1" s="3"/>
    </x:row>
    <x:row r="2" ht="36" customHeight="1">
      <x:c r="A2" s="3" t="str">
        <x:v>单题投资额</x:v>
      </x:c>
      <x:c r="B2" s="21" t="n">
        <x:v>500</x:v>
      </x:c>
      <x:c r="C2" s="3" t="str">
        <x:v>万元人民币</x:v>
      </x:c>
      <x:c r="D2" s="16" t="str">
        <x:v>修改单题投资额后，所有模拟回收和净收益联动。美元估值只用于同币种比值，不需要用汇率换算倍数。</x:v>
      </x:c>
      <x:c r="E2" s="16"/>
      <x:c r="F2" s="16"/>
      <x:c r="G2" s="16"/>
      <x:c r="H2" s="16"/>
      <x:c r="I2" s="16"/>
      <x:c r="J2" s="16"/>
      <x:c r="K2" s="16"/>
      <x:c r="L2" s="16"/>
      <x:c r="M2" s="3"/>
      <x:c r="N2" s="3"/>
      <x:c r="O2" s="3"/>
      <x:c r="P2" s="3"/>
      <x:c r="Q2" s="3"/>
      <x:c r="R2" s="3"/>
    </x:row>
    <x:row r="3" ht="42" customHeight="1">
      <x:c r="A3" s="16" t="str">
        <x:v>回报倍数＝终点估值÷进入估值×持股保留系数；指定倍率单独输入。默认系数100%，不计追加投资、分红、优先权、税费及退出折价，沿用人工案例简化标准。</x:v>
      </x:c>
      <x:c r="B3" s="16"/>
      <x:c r="C3" s="16"/>
      <x:c r="D3" s="16"/>
      <x:c r="E3" s="16"/>
      <x:c r="F3" s="16"/>
      <x:c r="G3" s="16"/>
      <x:c r="H3" s="16"/>
      <x:c r="I3" s="16"/>
      <x:c r="J3" s="16"/>
      <x:c r="K3" s="16"/>
      <x:c r="L3" s="16"/>
      <x:c r="M3" s="3"/>
      <x:c r="N3" s="3"/>
      <x:c r="O3" s="3"/>
      <x:c r="P3" s="3"/>
      <x:c r="Q3" s="3"/>
      <x:c r="R3" s="3"/>
    </x:row>
    <x:row r="4" ht="42" customHeight="1">
      <x:c r="A4" s="16" t="str">
        <x:v>0倍＝全部损失，净收益率-100%；1倍＝收回本金。成本持有与估值情景只是游戏结算，融资估值比也不等于已实现现金退出。终点不是统一最新日期。</x:v>
      </x:c>
      <x:c r="B4" s="16"/>
      <x:c r="C4" s="16"/>
      <x:c r="D4" s="16"/>
      <x:c r="E4" s="16"/>
      <x:c r="F4" s="16"/>
      <x:c r="G4" s="16"/>
      <x:c r="H4" s="16"/>
      <x:c r="I4" s="16"/>
      <x:c r="J4" s="16"/>
      <x:c r="K4" s="16"/>
      <x:c r="L4" s="16"/>
      <x:c r="M4" s="3"/>
      <x:c r="N4" s="3"/>
      <x:c r="O4" s="3"/>
      <x:c r="P4" s="3"/>
      <x:c r="Q4" s="3"/>
      <x:c r="R4" s="3"/>
    </x:row>
    <x:row r="5" ht="24" customHeight="1">
      <x:c r="A5" s="3"/>
      <x:c r="B5" s="3"/>
      <x:c r="C5" s="3"/>
      <x:c r="D5" s="3"/>
      <x:c r="E5" s="3"/>
      <x:c r="F5" s="3"/>
      <x:c r="G5" s="3"/>
      <x:c r="H5" s="3"/>
      <x:c r="I5" s="3"/>
      <x:c r="J5" s="3"/>
      <x:c r="K5" s="3"/>
      <x:c r="L5" s="3"/>
      <x:c r="M5" s="3"/>
      <x:c r="N5" s="3"/>
      <x:c r="O5" s="3"/>
      <x:c r="P5" s="3"/>
      <x:c r="Q5" s="3"/>
      <x:c r="R5" s="3"/>
    </x:row>
    <x:row r="6" ht="60" customHeight="1">
      <x:c r="A6" s="7" t="str">
        <x:v>案例ID</x:v>
      </x:c>
      <x:c r="B6" s="7" t="str">
        <x:v>项目原型</x:v>
      </x:c>
      <x:c r="C6" s="7" t="str">
        <x:v>游戏进入年</x:v>
      </x:c>
      <x:c r="D6" s="7" t="str">
        <x:v>进入轮次／阶段</x:v>
      </x:c>
      <x:c r="E6" s="7" t="str">
        <x:v>回报口径</x:v>
      </x:c>
      <x:c r="F6" s="7" t="str">
        <x:v>估值单位</x:v>
      </x:c>
      <x:c r="G6" s="7" t="str">
        <x:v>进入估值／指数</x:v>
      </x:c>
      <x:c r="H6" s="7" t="str">
        <x:v>终点估值／指数</x:v>
      </x:c>
      <x:c r="I6" s="7" t="str">
        <x:v>人工指定倍率</x:v>
      </x:c>
      <x:c r="J6" s="7" t="str">
        <x:v>持股保留系数</x:v>
      </x:c>
      <x:c r="K6" s="7" t="str">
        <x:v>结算倍数</x:v>
      </x:c>
      <x:c r="L6" s="7" t="str">
        <x:v>净收益率</x:v>
      </x:c>
      <x:c r="M6" s="7" t="str">
        <x:v>单题投资（万元人民币）</x:v>
      </x:c>
      <x:c r="N6" s="7" t="str">
        <x:v>模拟回收（万元人民币）</x:v>
      </x:c>
      <x:c r="O6" s="7" t="str">
        <x:v>模拟净收益（万元人民币）</x:v>
      </x:c>
      <x:c r="P6" s="7" t="str">
        <x:v>终点日期／口径</x:v>
      </x:c>
      <x:c r="Q6" s="7" t="str">
        <x:v>真实阶段判断</x:v>
      </x:c>
      <x:c r="R6" s="7" t="str">
        <x:v>回报设定依据</x:v>
      </x:c>
    </x:row>
    <x:row r="7" ht="66" customHeight="1">
      <x:c r="A7" s="9" t="str">
        <x:v>VC01</x:v>
      </x:c>
      <x:c r="B7" s="9" t="str">
        <x:v>宇树科技</x:v>
      </x:c>
      <x:c r="C7" s="25" t="n">
        <x:v>2016</x:v>
      </x:c>
      <x:c r="D7" s="9" t="str">
        <x:v>早期股权投资</x:v>
      </x:c>
      <x:c r="E7" s="9" t="str">
        <x:v>人工指定倍率</x:v>
      </x:c>
      <x:c r="F7" s="9" t="str">
        <x:v>指定倍率</x:v>
      </x:c>
      <x:c r="G7" s="45"/>
      <x:c r="H7" s="45"/>
      <x:c r="I7" s="46" t="n">
        <x:v>1035</x:v>
      </x:c>
      <x:c r="J7" s="47" t="n">
        <x:v>1</x:v>
      </x:c>
      <x:c r="K7" s="48" t="n">
        <x:f>IF(ISBLANK(J7),NA(),IF(E7="人工指定倍率",IF(ISBLANK(I7),NA(),I7),IF(OR(ISBLANK(G7),ISBLANK(H7)),NA(),H7/G7))*J7)</x:f>
        <x:v>1035</x:v>
      </x:c>
      <x:c r="L7" s="49" t="n">
        <x:f>K7-1</x:f>
        <x:v>1034</x:v>
      </x:c>
      <x:c r="M7" s="50" t="n">
        <x:f>$B$2</x:f>
        <x:v>500</x:v>
      </x:c>
      <x:c r="N7" s="50" t="n">
        <x:f>M7*K7</x:f>
        <x:v>517500</x:v>
      </x:c>
      <x:c r="O7" s="50" t="n">
        <x:f>N7-M7</x:f>
        <x:v>517000</x:v>
      </x:c>
      <x:c r="P7" s="9" t="str">
        <x:v>人工终点，具体日待核</x:v>
      </x:c>
      <x:c r="Q7" s="9" t="str">
        <x:v>正向参考</x:v>
      </x:c>
      <x:c r="R7" s="9" t="str">
        <x:v>保留用户指定1035倍。媒体原文、持股稀释和退出方式待补证，不能用200万元与累计融资20亿元计算。</x:v>
      </x:c>
    </x:row>
    <x:row r="8" ht="66" customHeight="1">
      <x:c r="A8" s="13" t="str">
        <x:v>VC02</x:v>
      </x:c>
      <x:c r="B8" s="13" t="str">
        <x:v>智元机器人</x:v>
      </x:c>
      <x:c r="C8" s="26" t="n">
        <x:v>2023</x:v>
      </x:c>
      <x:c r="D8" s="13" t="str">
        <x:v>种子／天使阶段</x:v>
      </x:c>
      <x:c r="E8" s="13" t="str">
        <x:v>教学估值情景</x:v>
      </x:c>
      <x:c r="F8" s="13" t="str">
        <x:v>亿元人民币</x:v>
      </x:c>
      <x:c r="G8" s="45" t="n">
        <x:v>10</x:v>
      </x:c>
      <x:c r="H8" s="45" t="n">
        <x:v>60</x:v>
      </x:c>
      <x:c r="I8" s="46"/>
      <x:c r="J8" s="47" t="n">
        <x:v>1</x:v>
      </x:c>
      <x:c r="K8" s="51" t="n">
        <x:f>IF(ISBLANK(J8),NA(),IF(E8="人工指定倍率",IF(ISBLANK(I8),NA(),I8),IF(OR(ISBLANK(G8),ISBLANK(H8)),NA(),H8/G8))*J8)</x:f>
        <x:v>6</x:v>
      </x:c>
      <x:c r="L8" s="52" t="n">
        <x:f>K8-1</x:f>
        <x:v>5</x:v>
      </x:c>
      <x:c r="M8" s="53" t="n">
        <x:f>$B$2</x:f>
        <x:v>500</x:v>
      </x:c>
      <x:c r="N8" s="53" t="n">
        <x:f>M8*K8</x:f>
        <x:v>3000</x:v>
      </x:c>
      <x:c r="O8" s="53" t="n">
        <x:f>N8-M8</x:f>
        <x:v>2500</x:v>
      </x:c>
      <x:c r="P8" s="13" t="str">
        <x:v>2026-10-14教学终点</x:v>
      </x:c>
      <x:c r="Q8" s="13" t="str">
        <x:v>成长待定</x:v>
      </x:c>
      <x:c r="R8" s="13" t="str">
        <x:v>模拟全栈平台在多个场景形成阶段交付，估值6倍；进入与终点均为教学参数。</x:v>
      </x:c>
    </x:row>
    <x:row r="9" ht="66" customHeight="1">
      <x:c r="A9" s="9" t="str">
        <x:v>VC03</x:v>
      </x:c>
      <x:c r="B9" s="9" t="str">
        <x:v>星动纪元</x:v>
      </x:c>
      <x:c r="C9" s="25" t="n">
        <x:v>2023</x:v>
      </x:c>
      <x:c r="D9" s="9" t="str">
        <x:v>种子阶段</x:v>
      </x:c>
      <x:c r="E9" s="9" t="str">
        <x:v>教学估值情景</x:v>
      </x:c>
      <x:c r="F9" s="9" t="str">
        <x:v>亿元人民币</x:v>
      </x:c>
      <x:c r="G9" s="45" t="n">
        <x:v>3</x:v>
      </x:c>
      <x:c r="H9" s="45" t="n">
        <x:v>24</x:v>
      </x:c>
      <x:c r="I9" s="46"/>
      <x:c r="J9" s="47" t="n">
        <x:v>1</x:v>
      </x:c>
      <x:c r="K9" s="48" t="n">
        <x:f>IF(ISBLANK(J9),NA(),IF(E9="人工指定倍率",IF(ISBLANK(I9),NA(),I9),IF(OR(ISBLANK(G9),ISBLANK(H9)),NA(),H9/G9))*J9)</x:f>
        <x:v>8</x:v>
      </x:c>
      <x:c r="L9" s="49" t="n">
        <x:f>K9-1</x:f>
        <x:v>7</x:v>
      </x:c>
      <x:c r="M9" s="50" t="n">
        <x:f>$B$2</x:f>
        <x:v>500</x:v>
      </x:c>
      <x:c r="N9" s="50" t="n">
        <x:f>M9*K9</x:f>
        <x:v>4000</x:v>
      </x:c>
      <x:c r="O9" s="50" t="n">
        <x:f>N9-M9</x:f>
        <x:v>3500</x:v>
      </x:c>
      <x:c r="P9" s="9" t="str">
        <x:v>2026-10-14教学终点</x:v>
      </x:c>
      <x:c r="Q9" s="9" t="str">
        <x:v>成长待定</x:v>
      </x:c>
      <x:c r="R9" s="9" t="str">
        <x:v>模拟运动控制平台与产业试点推动下一阶段定价，估值8倍；并非真实已披露估值。</x:v>
      </x:c>
    </x:row>
    <x:row r="10" ht="66" customHeight="1">
      <x:c r="A10" s="13" t="str">
        <x:v>VC04</x:v>
      </x:c>
      <x:c r="B10" s="13" t="str">
        <x:v>千寻智能</x:v>
      </x:c>
      <x:c r="C10" s="26" t="n">
        <x:v>2024</x:v>
      </x:c>
      <x:c r="D10" s="13" t="str">
        <x:v>种子／天使阶段</x:v>
      </x:c>
      <x:c r="E10" s="13" t="str">
        <x:v>教学估值情景</x:v>
      </x:c>
      <x:c r="F10" s="13" t="str">
        <x:v>亿元人民币</x:v>
      </x:c>
      <x:c r="G10" s="45" t="n">
        <x:v>5</x:v>
      </x:c>
      <x:c r="H10" s="45" t="n">
        <x:v>40</x:v>
      </x:c>
      <x:c r="I10" s="46"/>
      <x:c r="J10" s="47" t="n">
        <x:v>1</x:v>
      </x:c>
      <x:c r="K10" s="51" t="n">
        <x:f>IF(ISBLANK(J10),NA(),IF(E10="人工指定倍率",IF(ISBLANK(I10),NA(),I10),IF(OR(ISBLANK(G10),ISBLANK(H10)),NA(),H10/G10))*J10)</x:f>
        <x:v>8</x:v>
      </x:c>
      <x:c r="L10" s="52" t="n">
        <x:f>K10-1</x:f>
        <x:v>7</x:v>
      </x:c>
      <x:c r="M10" s="53" t="n">
        <x:f>$B$2</x:f>
        <x:v>500</x:v>
      </x:c>
      <x:c r="N10" s="53" t="n">
        <x:f>M10*K10</x:f>
        <x:v>4000</x:v>
      </x:c>
      <x:c r="O10" s="53" t="n">
        <x:f>N10-M10</x:f>
        <x:v>3500</x:v>
      </x:c>
      <x:c r="P10" s="13" t="str">
        <x:v>2026-10-14教学终点</x:v>
      </x:c>
      <x:c r="Q10" s="13" t="str">
        <x:v>成长待定</x:v>
      </x:c>
      <x:c r="R10" s="13" t="str">
        <x:v>模拟操作模型进入更多试点后估值8倍；两个估值均为教学参数，融资金额不参与计算。</x:v>
      </x:c>
    </x:row>
    <x:row r="11" ht="66" customHeight="1">
      <x:c r="A11" s="9" t="str">
        <x:v>VC05</x:v>
      </x:c>
      <x:c r="B11" s="9" t="str">
        <x:v>优必选</x:v>
      </x:c>
      <x:c r="C11" s="25" t="n">
        <x:v>2013</x:v>
      </x:c>
      <x:c r="D11" s="9" t="str">
        <x:v>早期外部融资阶段</x:v>
      </x:c>
      <x:c r="E11" s="9" t="str">
        <x:v>教学估值情景</x:v>
      </x:c>
      <x:c r="F11" s="9" t="str">
        <x:v>亿元人民币</x:v>
      </x:c>
      <x:c r="G11" s="45" t="n">
        <x:v>3</x:v>
      </x:c>
      <x:c r="H11" s="45" t="n">
        <x:v>18</x:v>
      </x:c>
      <x:c r="I11" s="46"/>
      <x:c r="J11" s="47" t="n">
        <x:v>1</x:v>
      </x:c>
      <x:c r="K11" s="48" t="n">
        <x:f>IF(ISBLANK(J11),NA(),IF(E11="人工指定倍率",IF(ISBLANK(I11),NA(),I11),IF(OR(ISBLANK(G11),ISBLANK(H11)),NA(),H11/G11))*J11)</x:f>
        <x:v>6</x:v>
      </x:c>
      <x:c r="L11" s="49" t="n">
        <x:f>K11-1</x:f>
        <x:v>5</x:v>
      </x:c>
      <x:c r="M11" s="50" t="n">
        <x:f>$B$2</x:f>
        <x:v>500</x:v>
      </x:c>
      <x:c r="N11" s="50" t="n">
        <x:f>M11*K11</x:f>
        <x:v>3000</x:v>
      </x:c>
      <x:c r="O11" s="50" t="n">
        <x:f>N11-M11</x:f>
        <x:v>2500</x:v>
      </x:c>
      <x:c r="P11" s="9" t="str">
        <x:v>2026-10-14教学终点</x:v>
      </x:c>
      <x:c r="Q11" s="9" t="str">
        <x:v>成长待定</x:v>
      </x:c>
      <x:c r="R11" s="9" t="str">
        <x:v>模拟早期关节和产品积累带来6倍估值，同时保留长期研发及盈利压力；不使用现时股价。</x:v>
      </x:c>
    </x:row>
    <x:row r="12" ht="66" customHeight="1">
      <x:c r="A12" s="13" t="str">
        <x:v>VC06</x:v>
      </x:c>
      <x:c r="B12" s="13" t="str">
        <x:v>极佳视界</x:v>
      </x:c>
      <x:c r="C12" s="26" t="n">
        <x:v>2024</x:v>
      </x:c>
      <x:c r="D12" s="13" t="str">
        <x:v>天使阶段</x:v>
      </x:c>
      <x:c r="E12" s="13" t="str">
        <x:v>教学估值情景</x:v>
      </x:c>
      <x:c r="F12" s="13" t="str">
        <x:v>亿元人民币</x:v>
      </x:c>
      <x:c r="G12" s="45" t="n">
        <x:v>2</x:v>
      </x:c>
      <x:c r="H12" s="45" t="n">
        <x:v>12</x:v>
      </x:c>
      <x:c r="I12" s="46"/>
      <x:c r="J12" s="47" t="n">
        <x:v>1</x:v>
      </x:c>
      <x:c r="K12" s="51" t="n">
        <x:f>IF(ISBLANK(J12),NA(),IF(E12="人工指定倍率",IF(ISBLANK(I12),NA(),I12),IF(OR(ISBLANK(G12),ISBLANK(H12)),NA(),H12/G12))*J12)</x:f>
        <x:v>6</x:v>
      </x:c>
      <x:c r="L12" s="52" t="n">
        <x:f>K12-1</x:f>
        <x:v>5</x:v>
      </x:c>
      <x:c r="M12" s="53" t="n">
        <x:f>$B$2</x:f>
        <x:v>500</x:v>
      </x:c>
      <x:c r="N12" s="53" t="n">
        <x:f>M12*K12</x:f>
        <x:v>3000</x:v>
      </x:c>
      <x:c r="O12" s="53" t="n">
        <x:f>N12-M12</x:f>
        <x:v>2500</x:v>
      </x:c>
      <x:c r="P12" s="13" t="str">
        <x:v>2026-10-14教学终点</x:v>
      </x:c>
      <x:c r="Q12" s="13" t="str">
        <x:v>成长待定</x:v>
      </x:c>
      <x:c r="R12" s="13" t="str">
        <x:v>模拟世界模型获得合作验证后6倍估值；没有用媒体百亿估值作为终点。</x:v>
      </x:c>
    </x:row>
    <x:row r="13" ht="66" customHeight="1">
      <x:c r="A13" s="9" t="str">
        <x:v>VC07</x:v>
      </x:c>
      <x:c r="B13" s="9" t="str">
        <x:v>灵初智能</x:v>
      </x:c>
      <x:c r="C13" s="25" t="n">
        <x:v>2024</x:v>
      </x:c>
      <x:c r="D13" s="9" t="str">
        <x:v>种子阶段</x:v>
      </x:c>
      <x:c r="E13" s="9" t="str">
        <x:v>成本持有情景</x:v>
      </x:c>
      <x:c r="F13" s="9" t="str">
        <x:v>估值指数</x:v>
      </x:c>
      <x:c r="G13" s="45" t="n">
        <x:v>1</x:v>
      </x:c>
      <x:c r="H13" s="45" t="n">
        <x:v>1</x:v>
      </x:c>
      <x:c r="I13" s="46"/>
      <x:c r="J13" s="47" t="n">
        <x:v>1</x:v>
      </x:c>
      <x:c r="K13" s="48" t="n">
        <x:f>IF(ISBLANK(J13),NA(),IF(E13="人工指定倍率",IF(ISBLANK(I13),NA(),I13),IF(OR(ISBLANK(G13),ISBLANK(H13)),NA(),H13/G13))*J13)</x:f>
        <x:v>1</x:v>
      </x:c>
      <x:c r="L13" s="49" t="n">
        <x:f>K13-1</x:f>
        <x:v>0</x:v>
      </x:c>
      <x:c r="M13" s="50" t="n">
        <x:f>$B$2</x:f>
        <x:v>500</x:v>
      </x:c>
      <x:c r="N13" s="50" t="n">
        <x:f>M13*K13</x:f>
        <x:v>500</x:v>
      </x:c>
      <x:c r="O13" s="50" t="n">
        <x:f>N13-M13</x:f>
        <x:v>0</x:v>
      </x:c>
      <x:c r="P13" s="9" t="str">
        <x:v>截至2026-10-14成本持有</x:v>
      </x:c>
      <x:c r="Q13" s="9" t="str">
        <x:v>成长待定</x:v>
      </x:c>
      <x:c r="R13" s="9" t="str">
        <x:v>观察期短且无可比估值，教学上暂按成本指数1到1计1倍；不是预测公司没有增长。</x:v>
      </x:c>
    </x:row>
    <x:row r="14" ht="66" customHeight="1">
      <x:c r="A14" s="13" t="str">
        <x:v>VC08</x:v>
      </x:c>
      <x:c r="B14" s="13" t="str">
        <x:v>银河通用</x:v>
      </x:c>
      <x:c r="C14" s="26" t="n">
        <x:v>2024</x:v>
      </x:c>
      <x:c r="D14" s="13" t="str">
        <x:v>天使阶段</x:v>
      </x:c>
      <x:c r="E14" s="13" t="str">
        <x:v>教学估值情景</x:v>
      </x:c>
      <x:c r="F14" s="13" t="str">
        <x:v>亿元人民币</x:v>
      </x:c>
      <x:c r="G14" s="45" t="n">
        <x:v>15</x:v>
      </x:c>
      <x:c r="H14" s="45" t="n">
        <x:v>75</x:v>
      </x:c>
      <x:c r="I14" s="46"/>
      <x:c r="J14" s="47" t="n">
        <x:v>1</x:v>
      </x:c>
      <x:c r="K14" s="51" t="n">
        <x:f>IF(ISBLANK(J14),NA(),IF(E14="人工指定倍率",IF(ISBLANK(I14),NA(),I14),IF(OR(ISBLANK(G14),ISBLANK(H14)),NA(),H14/G14))*J14)</x:f>
        <x:v>5</x:v>
      </x:c>
      <x:c r="L14" s="52" t="n">
        <x:f>K14-1</x:f>
        <x:v>4</x:v>
      </x:c>
      <x:c r="M14" s="53" t="n">
        <x:f>$B$2</x:f>
        <x:v>500</x:v>
      </x:c>
      <x:c r="N14" s="53" t="n">
        <x:f>M14*K14</x:f>
        <x:v>2500</x:v>
      </x:c>
      <x:c r="O14" s="53" t="n">
        <x:f>N14-M14</x:f>
        <x:v>2000</x:v>
      </x:c>
      <x:c r="P14" s="13" t="str">
        <x:v>2026-10-14教学终点</x:v>
      </x:c>
      <x:c r="Q14" s="13" t="str">
        <x:v>成长待定</x:v>
      </x:c>
      <x:c r="R14" s="13" t="str">
        <x:v>模拟移动操作在有限任务中扩展部署，估值5倍；真实融资节点只解释阶段，不用于反推。</x:v>
      </x:c>
    </x:row>
    <x:row r="15" ht="66" customHeight="1">
      <x:c r="A15" s="9" t="str">
        <x:v>VC09</x:v>
      </x:c>
      <x:c r="B15" s="9" t="str">
        <x:v>星海图</x:v>
      </x:c>
      <x:c r="C15" s="25" t="n">
        <x:v>2023</x:v>
      </x:c>
      <x:c r="D15" s="9" t="str">
        <x:v>天使阶段</x:v>
      </x:c>
      <x:c r="E15" s="9" t="str">
        <x:v>教学估值情景</x:v>
      </x:c>
      <x:c r="F15" s="9" t="str">
        <x:v>亿元人民币</x:v>
      </x:c>
      <x:c r="G15" s="45" t="n">
        <x:v>3</x:v>
      </x:c>
      <x:c r="H15" s="45" t="n">
        <x:v>18</x:v>
      </x:c>
      <x:c r="I15" s="46"/>
      <x:c r="J15" s="47" t="n">
        <x:v>1</x:v>
      </x:c>
      <x:c r="K15" s="48" t="n">
        <x:f>IF(ISBLANK(J15),NA(),IF(E15="人工指定倍率",IF(ISBLANK(I15),NA(),I15),IF(OR(ISBLANK(G15),ISBLANK(H15)),NA(),H15/G15))*J15)</x:f>
        <x:v>6</x:v>
      </x:c>
      <x:c r="L15" s="49" t="n">
        <x:f>K15-1</x:f>
        <x:v>5</x:v>
      </x:c>
      <x:c r="M15" s="50" t="n">
        <x:f>$B$2</x:f>
        <x:v>500</x:v>
      </x:c>
      <x:c r="N15" s="50" t="n">
        <x:f>M15*K15</x:f>
        <x:v>3000</x:v>
      </x:c>
      <x:c r="O15" s="50" t="n">
        <x:f>N15-M15</x:f>
        <x:v>2500</x:v>
      </x:c>
      <x:c r="P15" s="9" t="str">
        <x:v>2026-10-14教学终点</x:v>
      </x:c>
      <x:c r="Q15" s="9" t="str">
        <x:v>成长待定</x:v>
      </x:c>
      <x:c r="R15" s="9" t="str">
        <x:v>模拟开发平台与数据闭环被更多客户采用，估值6倍；不采用累计融资代理。</x:v>
      </x:c>
    </x:row>
    <x:row r="16" ht="66" customHeight="1">
      <x:c r="A16" s="13" t="str">
        <x:v>VC10</x:v>
      </x:c>
      <x:c r="B16" s="13" t="str">
        <x:v>极智嘉</x:v>
      </x:c>
      <x:c r="C16" s="26" t="n">
        <x:v>2015</x:v>
      </x:c>
      <x:c r="D16" s="13" t="str">
        <x:v>早期阶段</x:v>
      </x:c>
      <x:c r="E16" s="13" t="str">
        <x:v>教学估值情景</x:v>
      </x:c>
      <x:c r="F16" s="13" t="str">
        <x:v>亿元人民币</x:v>
      </x:c>
      <x:c r="G16" s="45" t="n">
        <x:v>2</x:v>
      </x:c>
      <x:c r="H16" s="45" t="n">
        <x:v>40</x:v>
      </x:c>
      <x:c r="I16" s="46"/>
      <x:c r="J16" s="47" t="n">
        <x:v>1</x:v>
      </x:c>
      <x:c r="K16" s="51" t="n">
        <x:f>IF(ISBLANK(J16),NA(),IF(E16="人工指定倍率",IF(ISBLANK(I16),NA(),I16),IF(OR(ISBLANK(G16),ISBLANK(H16)),NA(),H16/G16))*J16)</x:f>
        <x:v>20</x:v>
      </x:c>
      <x:c r="L16" s="52" t="n">
        <x:f>K16-1</x:f>
        <x:v>19</x:v>
      </x:c>
      <x:c r="M16" s="53" t="n">
        <x:f>$B$2</x:f>
        <x:v>500</x:v>
      </x:c>
      <x:c r="N16" s="53" t="n">
        <x:f>M16*K16</x:f>
        <x:v>10000</x:v>
      </x:c>
      <x:c r="O16" s="53" t="n">
        <x:f>N16-M16</x:f>
        <x:v>9500</x:v>
      </x:c>
      <x:c r="P16" s="13" t="str">
        <x:v>2026-10-14教学终点</x:v>
      </x:c>
      <x:c r="Q16" s="13" t="str">
        <x:v>正向参考</x:v>
      </x:c>
      <x:c r="R16" s="13" t="str">
        <x:v>模拟仓储标准产品和全球客户形成20倍估值；两端为教学估值，不等于上市投资者真实收益。</x:v>
      </x:c>
    </x:row>
    <x:row r="17" ht="66" customHeight="1">
      <x:c r="A17" s="9" t="str">
        <x:v>VC11</x:v>
      </x:c>
      <x:c r="B17" s="9" t="str">
        <x:v>越疆机器人</x:v>
      </x:c>
      <x:c r="C17" s="25" t="n">
        <x:v>2015</x:v>
      </x:c>
      <x:c r="D17" s="9" t="str">
        <x:v>早期阶段</x:v>
      </x:c>
      <x:c r="E17" s="9" t="str">
        <x:v>教学估值情景</x:v>
      </x:c>
      <x:c r="F17" s="9" t="str">
        <x:v>亿元人民币</x:v>
      </x:c>
      <x:c r="G17" s="45" t="n">
        <x:v>0.8</x:v>
      </x:c>
      <x:c r="H17" s="45" t="n">
        <x:v>12</x:v>
      </x:c>
      <x:c r="I17" s="46"/>
      <x:c r="J17" s="47" t="n">
        <x:v>1</x:v>
      </x:c>
      <x:c r="K17" s="48" t="n">
        <x:f>IF(ISBLANK(J17),NA(),IF(E17="人工指定倍率",IF(ISBLANK(I17),NA(),I17),IF(OR(ISBLANK(G17),ISBLANK(H17)),NA(),H17/G17))*J17)</x:f>
        <x:v>15</x:v>
      </x:c>
      <x:c r="L17" s="49" t="n">
        <x:f>K17-1</x:f>
        <x:v>14</x:v>
      </x:c>
      <x:c r="M17" s="50" t="n">
        <x:f>$B$2</x:f>
        <x:v>500</x:v>
      </x:c>
      <x:c r="N17" s="50" t="n">
        <x:f>M17*K17</x:f>
        <x:v>7500</x:v>
      </x:c>
      <x:c r="O17" s="50" t="n">
        <x:f>N17-M17</x:f>
        <x:v>7000</x:v>
      </x:c>
      <x:c r="P17" s="9" t="str">
        <x:v>2026-10-14教学终点</x:v>
      </x:c>
      <x:c r="Q17" s="9" t="str">
        <x:v>正向参考</x:v>
      </x:c>
      <x:c r="R17" s="9" t="str">
        <x:v>模拟轻型机械臂从小市场进入工业渠道，估值15倍；不是用累计融资计算。</x:v>
      </x:c>
    </x:row>
    <x:row r="18" ht="66" customHeight="1">
      <x:c r="A18" s="13" t="str">
        <x:v>VC12</x:v>
      </x:c>
      <x:c r="B18" s="13" t="str">
        <x:v>石头科技</x:v>
      </x:c>
      <x:c r="C18" s="26" t="n">
        <x:v>2014</x:v>
      </x:c>
      <x:c r="D18" s="13" t="str">
        <x:v>天使阶段</x:v>
      </x:c>
      <x:c r="E18" s="13" t="str">
        <x:v>教学估值情景</x:v>
      </x:c>
      <x:c r="F18" s="13" t="str">
        <x:v>亿元人民币</x:v>
      </x:c>
      <x:c r="G18" s="45" t="n">
        <x:v>0.5</x:v>
      </x:c>
      <x:c r="H18" s="45" t="n">
        <x:v>100</x:v>
      </x:c>
      <x:c r="I18" s="46"/>
      <x:c r="J18" s="47" t="n">
        <x:v>1</x:v>
      </x:c>
      <x:c r="K18" s="51" t="n">
        <x:f>IF(ISBLANK(J18),NA(),IF(E18="人工指定倍率",IF(ISBLANK(I18),NA(),I18),IF(OR(ISBLANK(G18),ISBLANK(H18)),NA(),H18/G18))*J18)</x:f>
        <x:v>200</x:v>
      </x:c>
      <x:c r="L18" s="52" t="n">
        <x:f>K18-1</x:f>
        <x:v>199</x:v>
      </x:c>
      <x:c r="M18" s="53" t="n">
        <x:f>$B$2</x:f>
        <x:v>500</x:v>
      </x:c>
      <x:c r="N18" s="53" t="n">
        <x:f>M18*K18</x:f>
        <x:v>100000</x:v>
      </x:c>
      <x:c r="O18" s="53" t="n">
        <x:f>N18-M18</x:f>
        <x:v>99500</x:v>
      </x:c>
      <x:c r="P18" s="13" t="str">
        <x:v>2026-10-14教学终点</x:v>
      </x:c>
      <x:c r="Q18" s="13" t="str">
        <x:v>正向参考</x:v>
      </x:c>
      <x:c r="R18" s="13" t="str">
        <x:v>模拟导航产品与自主品牌形成200倍估值，表现消费硬件长尾赢家；输入是教学定价。</x:v>
      </x:c>
    </x:row>
    <x:row r="19" ht="66" customHeight="1">
      <x:c r="A19" s="9" t="str">
        <x:v>VC13</x:v>
      </x:c>
      <x:c r="B19" s="9" t="str">
        <x:v>普渡科技</x:v>
      </x:c>
      <x:c r="C19" s="25" t="n">
        <x:v>2016</x:v>
      </x:c>
      <x:c r="D19" s="9" t="str">
        <x:v>种子／天使阶段</x:v>
      </x:c>
      <x:c r="E19" s="9" t="str">
        <x:v>教学估值情景</x:v>
      </x:c>
      <x:c r="F19" s="9" t="str">
        <x:v>亿元人民币</x:v>
      </x:c>
      <x:c r="G19" s="45" t="n">
        <x:v>0.5</x:v>
      </x:c>
      <x:c r="H19" s="45" t="n">
        <x:v>60</x:v>
      </x:c>
      <x:c r="I19" s="46"/>
      <x:c r="J19" s="47" t="n">
        <x:v>1</x:v>
      </x:c>
      <x:c r="K19" s="48" t="n">
        <x:f>IF(ISBLANK(J19),NA(),IF(E19="人工指定倍率",IF(ISBLANK(I19),NA(),I19),IF(OR(ISBLANK(G19),ISBLANK(H19)),NA(),H19/G19))*J19)</x:f>
        <x:v>120</x:v>
      </x:c>
      <x:c r="L19" s="49" t="n">
        <x:f>K19-1</x:f>
        <x:v>119</x:v>
      </x:c>
      <x:c r="M19" s="50" t="n">
        <x:f>$B$2</x:f>
        <x:v>500</x:v>
      </x:c>
      <x:c r="N19" s="50" t="n">
        <x:f>M19*K19</x:f>
        <x:v>60000</x:v>
      </x:c>
      <x:c r="O19" s="50" t="n">
        <x:f>N19-M19</x:f>
        <x:v>59500</x:v>
      </x:c>
      <x:c r="P19" s="9" t="str">
        <x:v>2026-10-14教学终点</x:v>
      </x:c>
      <x:c r="Q19" s="9" t="str">
        <x:v>正向参考</x:v>
      </x:c>
      <x:c r="R19" s="9" t="str">
        <x:v>模拟餐饮切口复制到全球渠道，估值120倍；终点低于2026新闻稿估值也不构成真实估值认定。</x:v>
      </x:c>
    </x:row>
    <x:row r="20" ht="66" customHeight="1">
      <x:c r="A20" s="13" t="str">
        <x:v>VC14</x:v>
      </x:c>
      <x:c r="B20" s="13" t="str">
        <x:v>大疆创新</x:v>
      </x:c>
      <x:c r="C20" s="26" t="n">
        <x:v>2006</x:v>
      </x:c>
      <x:c r="D20" s="13" t="str">
        <x:v>创办期教学进入</x:v>
      </x:c>
      <x:c r="E20" s="13" t="str">
        <x:v>教学估值情景</x:v>
      </x:c>
      <x:c r="F20" s="13" t="str">
        <x:v>亿元人民币</x:v>
      </x:c>
      <x:c r="G20" s="45" t="n">
        <x:v>0.5</x:v>
      </x:c>
      <x:c r="H20" s="45" t="n">
        <x:v>150</x:v>
      </x:c>
      <x:c r="I20" s="46"/>
      <x:c r="J20" s="47" t="n">
        <x:v>1</x:v>
      </x:c>
      <x:c r="K20" s="51" t="n">
        <x:f>IF(ISBLANK(J20),NA(),IF(E20="人工指定倍率",IF(ISBLANK(I20),NA(),I20),IF(OR(ISBLANK(G20),ISBLANK(H20)),NA(),H20/G20))*J20)</x:f>
        <x:v>300</x:v>
      </x:c>
      <x:c r="L20" s="52" t="n">
        <x:f>K20-1</x:f>
        <x:v>299</x:v>
      </x:c>
      <x:c r="M20" s="53" t="n">
        <x:f>$B$2</x:f>
        <x:v>500</x:v>
      </x:c>
      <x:c r="N20" s="53" t="n">
        <x:f>M20*K20</x:f>
        <x:v>150000</x:v>
      </x:c>
      <x:c r="O20" s="53" t="n">
        <x:f>N20-M20</x:f>
        <x:v>149500</x:v>
      </x:c>
      <x:c r="P20" s="13" t="str">
        <x:v>2026-10-14教学终点</x:v>
      </x:c>
      <x:c r="Q20" s="13" t="str">
        <x:v>正向参考</x:v>
      </x:c>
      <x:c r="R20" s="13" t="str">
        <x:v>模拟飞控模块扩展为大规模消费整机，设300倍教学估值；不是历史真实投资回报。</x:v>
      </x:c>
    </x:row>
    <x:row r="21" ht="66" customHeight="1">
      <x:c r="A21" s="9" t="str">
        <x:v>VC15</x:v>
      </x:c>
      <x:c r="B21" s="9" t="str">
        <x:v>追觅科技</x:v>
      </x:c>
      <x:c r="C21" s="25" t="n">
        <x:v>2017</x:v>
      </x:c>
      <x:c r="D21" s="9" t="str">
        <x:v>早期融资阶段</x:v>
      </x:c>
      <x:c r="E21" s="9" t="str">
        <x:v>教学估值情景</x:v>
      </x:c>
      <x:c r="F21" s="9" t="str">
        <x:v>亿元人民币</x:v>
      </x:c>
      <x:c r="G21" s="45" t="n">
        <x:v>1</x:v>
      </x:c>
      <x:c r="H21" s="45" t="n">
        <x:v>80</x:v>
      </x:c>
      <x:c r="I21" s="46"/>
      <x:c r="J21" s="47" t="n">
        <x:v>1</x:v>
      </x:c>
      <x:c r="K21" s="48" t="n">
        <x:f>IF(ISBLANK(J21),NA(),IF(E21="人工指定倍率",IF(ISBLANK(I21),NA(),I21),IF(OR(ISBLANK(G21),ISBLANK(H21)),NA(),H21/G21))*J21)</x:f>
        <x:v>80</x:v>
      </x:c>
      <x:c r="L21" s="49" t="n">
        <x:f>K21-1</x:f>
        <x:v>79</x:v>
      </x:c>
      <x:c r="M21" s="50" t="n">
        <x:f>$B$2</x:f>
        <x:v>500</x:v>
      </x:c>
      <x:c r="N21" s="50" t="n">
        <x:f>M21*K21</x:f>
        <x:v>40000</x:v>
      </x:c>
      <x:c r="O21" s="50" t="n">
        <x:f>N21-M21</x:f>
        <x:v>39500</x:v>
      </x:c>
      <x:c r="P21" s="9" t="str">
        <x:v>2026-10-14教学终点</x:v>
      </x:c>
      <x:c r="Q21" s="9" t="str">
        <x:v>正向参考</x:v>
      </x:c>
      <x:c r="R21" s="9" t="str">
        <x:v>模拟高速电机优势转化为品牌与海外销售，估值80倍；与真实融资额分开。</x:v>
      </x:c>
    </x:row>
    <x:row r="22" ht="66" customHeight="1">
      <x:c r="A22" s="13" t="str">
        <x:v>VC16</x:v>
      </x:c>
      <x:c r="B22" s="13" t="str">
        <x:v>擎朗智能</x:v>
      </x:c>
      <x:c r="C22" s="26" t="n">
        <x:v>2016</x:v>
      </x:c>
      <x:c r="D22" s="13" t="str">
        <x:v>首批外部融资阶段</x:v>
      </x:c>
      <x:c r="E22" s="13" t="str">
        <x:v>教学估值情景</x:v>
      </x:c>
      <x:c r="F22" s="13" t="str">
        <x:v>亿元人民币</x:v>
      </x:c>
      <x:c r="G22" s="45" t="n">
        <x:v>1</x:v>
      </x:c>
      <x:c r="H22" s="45" t="n">
        <x:v>30</x:v>
      </x:c>
      <x:c r="I22" s="46"/>
      <x:c r="J22" s="47" t="n">
        <x:v>1</x:v>
      </x:c>
      <x:c r="K22" s="51" t="n">
        <x:f>IF(ISBLANK(J22),NA(),IF(E22="人工指定倍率",IF(ISBLANK(I22),NA(),I22),IF(OR(ISBLANK(G22),ISBLANK(H22)),NA(),H22/G22))*J22)</x:f>
        <x:v>30</x:v>
      </x:c>
      <x:c r="L22" s="52" t="n">
        <x:f>K22-1</x:f>
        <x:v>29</x:v>
      </x:c>
      <x:c r="M22" s="53" t="n">
        <x:f>$B$2</x:f>
        <x:v>500</x:v>
      </x:c>
      <x:c r="N22" s="53" t="n">
        <x:f>M22*K22</x:f>
        <x:v>15000</x:v>
      </x:c>
      <x:c r="O22" s="53" t="n">
        <x:f>N22-M22</x:f>
        <x:v>14500</x:v>
      </x:c>
      <x:c r="P22" s="13" t="str">
        <x:v>2026-10-14教学终点</x:v>
      </x:c>
      <x:c r="Q22" s="13" t="str">
        <x:v>正向参考</x:v>
      </x:c>
      <x:c r="R22" s="13" t="str">
        <x:v>模拟门店标准部署及服务网络形成30倍估值；不以历史融资总额计算。</x:v>
      </x:c>
    </x:row>
    <x:row r="23" ht="66" customHeight="1">
      <x:c r="A23" s="9" t="str">
        <x:v>VC17</x:v>
      </x:c>
      <x:c r="B23" s="9" t="str">
        <x:v>深兰机器人（上海主体）</x:v>
      </x:c>
      <x:c r="C23" s="25" t="n">
        <x:v>2017</x:v>
      </x:c>
      <x:c r="D23" s="9" t="str">
        <x:v>子公司早期教学进入</x:v>
      </x:c>
      <x:c r="E23" s="9" t="str">
        <x:v>损失回收情景</x:v>
      </x:c>
      <x:c r="F23" s="9" t="str">
        <x:v>估值指数</x:v>
      </x:c>
      <x:c r="G23" s="45" t="n">
        <x:v>1</x:v>
      </x:c>
      <x:c r="H23" s="45" t="n">
        <x:v>0</x:v>
      </x:c>
      <x:c r="I23" s="46"/>
      <x:c r="J23" s="47" t="n">
        <x:v>1</x:v>
      </x:c>
      <x:c r="K23" s="48" t="n">
        <x:f>IF(ISBLANK(J23),NA(),IF(E23="人工指定倍率",IF(ISBLANK(I23),NA(),I23),IF(OR(ISBLANK(G23),ISBLANK(H23)),NA(),H23/G23))*J23)</x:f>
        <x:v>0</x:v>
      </x:c>
      <x:c r="L23" s="49" t="n">
        <x:f>K23-1</x:f>
        <x:v>-1</x:v>
      </x:c>
      <x:c r="M23" s="50" t="n">
        <x:f>$B$2</x:f>
        <x:v>500</x:v>
      </x:c>
      <x:c r="N23" s="50" t="n">
        <x:f>M23*K23</x:f>
        <x:v>0</x:v>
      </x:c>
      <x:c r="O23" s="50" t="n">
        <x:f>N23-M23</x:f>
        <x:v>-500</x:v>
      </x:c>
      <x:c r="P23" s="9" t="str">
        <x:v>公开程序节点／教学回收</x:v>
      </x:c>
      <x:c r="Q23" s="9" t="str">
        <x:v>重大挫折</x:v>
      </x:c>
      <x:c r="R23" s="9" t="str">
        <x:v>子公司清算的普通股零回收教学情景；实际清偿比例未核实，不据此归零整个集团。</x:v>
      </x:c>
    </x:row>
    <x:row r="24" ht="66" customHeight="1">
      <x:c r="A24" s="13" t="str">
        <x:v>VC18</x:v>
      </x:c>
      <x:c r="B24" s="13" t="str">
        <x:v>达闼机器人（北京子公司）</x:v>
      </x:c>
      <x:c r="C24" s="26" t="n">
        <x:v>2018</x:v>
      </x:c>
      <x:c r="D24" s="13" t="str">
        <x:v>子公司早期教学进入</x:v>
      </x:c>
      <x:c r="E24" s="13" t="str">
        <x:v>损失回收情景</x:v>
      </x:c>
      <x:c r="F24" s="13" t="str">
        <x:v>估值指数</x:v>
      </x:c>
      <x:c r="G24" s="45" t="n">
        <x:v>1</x:v>
      </x:c>
      <x:c r="H24" s="45" t="n">
        <x:v>0</x:v>
      </x:c>
      <x:c r="I24" s="46"/>
      <x:c r="J24" s="47" t="n">
        <x:v>1</x:v>
      </x:c>
      <x:c r="K24" s="51" t="n">
        <x:f>IF(ISBLANK(J24),NA(),IF(E24="人工指定倍率",IF(ISBLANK(I24),NA(),I24),IF(OR(ISBLANK(G24),ISBLANK(H24)),NA(),H24/G24))*J24)</x:f>
        <x:v>0</x:v>
      </x:c>
      <x:c r="L24" s="52" t="n">
        <x:f>K24-1</x:f>
        <x:v>-1</x:v>
      </x:c>
      <x:c r="M24" s="53" t="n">
        <x:f>$B$2</x:f>
        <x:v>500</x:v>
      </x:c>
      <x:c r="N24" s="53" t="n">
        <x:f>M24*K24</x:f>
        <x:v>0</x:v>
      </x:c>
      <x:c r="O24" s="53" t="n">
        <x:f>N24-M24</x:f>
        <x:v>-500</x:v>
      </x:c>
      <x:c r="P24" s="13" t="str">
        <x:v>公开程序节点／教学回收</x:v>
      </x:c>
      <x:c r="Q24" s="13" t="str">
        <x:v>重大挫折</x:v>
      </x:c>
      <x:c r="R24" s="13" t="str">
        <x:v>北京子公司普通股零回收教学情景，未核实清偿；不代表达闼集团全部主体结局。</x:v>
      </x:c>
    </x:row>
    <x:row r="25" ht="66" customHeight="1">
      <x:c r="A25" s="9" t="str">
        <x:v>VC19</x:v>
      </x:c>
      <x:c r="B25" s="9" t="str">
        <x:v>盈合机器人</x:v>
      </x:c>
      <x:c r="C25" s="25" t="n">
        <x:v>2020</x:v>
      </x:c>
      <x:c r="D25" s="9" t="str">
        <x:v>天使阶段</x:v>
      </x:c>
      <x:c r="E25" s="9" t="str">
        <x:v>损失回收情景</x:v>
      </x:c>
      <x:c r="F25" s="9" t="str">
        <x:v>估值指数</x:v>
      </x:c>
      <x:c r="G25" s="45" t="n">
        <x:v>1</x:v>
      </x:c>
      <x:c r="H25" s="45" t="n">
        <x:v>0</x:v>
      </x:c>
      <x:c r="I25" s="46"/>
      <x:c r="J25" s="47" t="n">
        <x:v>1</x:v>
      </x:c>
      <x:c r="K25" s="48" t="n">
        <x:f>IF(ISBLANK(J25),NA(),IF(E25="人工指定倍率",IF(ISBLANK(I25),NA(),I25),IF(OR(ISBLANK(G25),ISBLANK(H25)),NA(),H25/G25))*J25)</x:f>
        <x:v>0</x:v>
      </x:c>
      <x:c r="L25" s="49" t="n">
        <x:f>K25-1</x:f>
        <x:v>-1</x:v>
      </x:c>
      <x:c r="M25" s="50" t="n">
        <x:f>$B$2</x:f>
        <x:v>500</x:v>
      </x:c>
      <x:c r="N25" s="50" t="n">
        <x:f>M25*K25</x:f>
        <x:v>0</x:v>
      </x:c>
      <x:c r="O25" s="50" t="n">
        <x:f>N25-M25</x:f>
        <x:v>-500</x:v>
      </x:c>
      <x:c r="P25" s="9" t="str">
        <x:v>公开程序节点／教学回收</x:v>
      </x:c>
      <x:c r="Q25" s="9" t="str">
        <x:v>重大挫折</x:v>
      </x:c>
      <x:c r="R25" s="9" t="str">
        <x:v>破产程序下的普通股零回收教学情景，实际清偿未知；不以债务或融资额计算。</x:v>
      </x:c>
    </x:row>
    <x:row r="26" ht="66" customHeight="1">
      <x:c r="A26" s="13" t="str">
        <x:v>VC20</x:v>
      </x:c>
      <x:c r="B26" s="13" t="str">
        <x:v>梅卡曼德</x:v>
      </x:c>
      <x:c r="C26" s="26" t="n">
        <x:v>2016</x:v>
      </x:c>
      <x:c r="D26" s="13" t="str">
        <x:v>天使阶段</x:v>
      </x:c>
      <x:c r="E26" s="13" t="str">
        <x:v>人工确认基准</x:v>
      </x:c>
      <x:c r="F26" s="13" t="str">
        <x:v>亿元人民币</x:v>
      </x:c>
      <x:c r="G26" s="45" t="n">
        <x:v>0.16</x:v>
      </x:c>
      <x:c r="H26" s="45" t="n">
        <x:v>100</x:v>
      </x:c>
      <x:c r="I26" s="46"/>
      <x:c r="J26" s="47" t="n">
        <x:v>1</x:v>
      </x:c>
      <x:c r="K26" s="51" t="n">
        <x:f>IF(ISBLANK(J26),NA(),IF(E26="人工指定倍率",IF(ISBLANK(I26),NA(),I26),IF(OR(ISBLANK(G26),ISBLANK(H26)),NA(),H26/G26))*J26)</x:f>
        <x:v>625</x:v>
      </x:c>
      <x:c r="L26" s="52" t="n">
        <x:f>K26-1</x:f>
        <x:v>624</x:v>
      </x:c>
      <x:c r="M26" s="53" t="n">
        <x:f>$B$2</x:f>
        <x:v>500</x:v>
      </x:c>
      <x:c r="N26" s="53" t="n">
        <x:f>M26*K26</x:f>
        <x:v>312500</x:v>
      </x:c>
      <x:c r="O26" s="53" t="n">
        <x:f>N26-M26</x:f>
        <x:v>312000</x:v>
      </x:c>
      <x:c r="P26" s="13" t="str">
        <x:v>人工终点，具体日待核</x:v>
      </x:c>
      <x:c r="Q26" s="13" t="str">
        <x:v>正向参考</x:v>
      </x:c>
      <x:c r="R26" s="13" t="str">
        <x:v>保留人工100÷0.16=625倍。进入估值与终点均沿用用户基准，上市及市值日期待补证。</x:v>
      </x:c>
    </x:row>
    <x:row r="27" ht="66" customHeight="1">
      <x:c r="A27" s="9" t="str">
        <x:v>VC21</x:v>
      </x:c>
      <x:c r="B27" s="9" t="str">
        <x:v>柔宇科技</x:v>
      </x:c>
      <x:c r="C27" s="25" t="n">
        <x:v>2016</x:v>
      </x:c>
      <x:c r="D27" s="9" t="str">
        <x:v>C+轮（人工选定进入点）</x:v>
      </x:c>
      <x:c r="E27" s="9" t="str">
        <x:v>人工确认基准</x:v>
      </x:c>
      <x:c r="F27" s="9" t="str">
        <x:v>估值指数</x:v>
      </x:c>
      <x:c r="G27" s="45" t="n">
        <x:v>1</x:v>
      </x:c>
      <x:c r="H27" s="45" t="n">
        <x:v>0</x:v>
      </x:c>
      <x:c r="I27" s="46"/>
      <x:c r="J27" s="47" t="n">
        <x:v>1</x:v>
      </x:c>
      <x:c r="K27" s="48" t="n">
        <x:f>IF(ISBLANK(J27),NA(),IF(E27="人工指定倍率",IF(ISBLANK(I27),NA(),I27),IF(OR(ISBLANK(G27),ISBLANK(H27)),NA(),H27/G27))*J27)</x:f>
        <x:v>0</x:v>
      </x:c>
      <x:c r="L27" s="49" t="n">
        <x:f>K27-1</x:f>
        <x:v>-1</x:v>
      </x:c>
      <x:c r="M27" s="50" t="n">
        <x:f>$B$2</x:f>
        <x:v>500</x:v>
      </x:c>
      <x:c r="N27" s="50" t="n">
        <x:f>M27*K27</x:f>
        <x:v>0</x:v>
      </x:c>
      <x:c r="O27" s="50" t="n">
        <x:f>N27-M27</x:f>
        <x:v>-500</x:v>
      </x:c>
      <x:c r="P27" s="9" t="str">
        <x:v>人工终点，具体日待核</x:v>
      </x:c>
      <x:c r="Q27" s="9" t="str">
        <x:v>重大挫折</x:v>
      </x:c>
      <x:c r="R27" s="9" t="str">
        <x:v>人工保留0倍，作为普通股零回收游戏基准；破产事实成立但实际股东清偿未核。</x:v>
      </x:c>
    </x:row>
    <x:row r="28" ht="66" customHeight="1">
      <x:c r="A28" s="13" t="str">
        <x:v>VC22</x:v>
      </x:c>
      <x:c r="B28" s="13" t="str">
        <x:v>禾赛科技</x:v>
      </x:c>
      <x:c r="C28" s="26" t="n">
        <x:v>2016</x:v>
      </x:c>
      <x:c r="D28" s="13" t="str">
        <x:v>早期产品阶段</x:v>
      </x:c>
      <x:c r="E28" s="13" t="str">
        <x:v>教学估值情景</x:v>
      </x:c>
      <x:c r="F28" s="13" t="str">
        <x:v>亿元人民币</x:v>
      </x:c>
      <x:c r="G28" s="45" t="n">
        <x:v>1</x:v>
      </x:c>
      <x:c r="H28" s="45" t="n">
        <x:v>25</x:v>
      </x:c>
      <x:c r="I28" s="46"/>
      <x:c r="J28" s="47" t="n">
        <x:v>1</x:v>
      </x:c>
      <x:c r="K28" s="51" t="n">
        <x:f>IF(ISBLANK(J28),NA(),IF(E28="人工指定倍率",IF(ISBLANK(I28),NA(),I28),IF(OR(ISBLANK(G28),ISBLANK(H28)),NA(),H28/G28))*J28)</x:f>
        <x:v>25</x:v>
      </x:c>
      <x:c r="L28" s="52" t="n">
        <x:f>K28-1</x:f>
        <x:v>24</x:v>
      </x:c>
      <x:c r="M28" s="53" t="n">
        <x:f>$B$2</x:f>
        <x:v>500</x:v>
      </x:c>
      <x:c r="N28" s="53" t="n">
        <x:f>M28*K28</x:f>
        <x:v>12500</x:v>
      </x:c>
      <x:c r="O28" s="53" t="n">
        <x:f>N28-M28</x:f>
        <x:v>12000</x:v>
      </x:c>
      <x:c r="P28" s="13" t="str">
        <x:v>2026-10-14教学终点</x:v>
      </x:c>
      <x:c r="Q28" s="13" t="str">
        <x:v>正向参考</x:v>
      </x:c>
      <x:c r="R28" s="13" t="str">
        <x:v>模拟传感器从研发销售进入车规量产，估值25倍；不以出货数量或融资额直接定价。</x:v>
      </x:c>
    </x:row>
    <x:row r="29" ht="66" customHeight="1">
      <x:c r="A29" s="9" t="str">
        <x:v>VC23</x:v>
      </x:c>
      <x:c r="B29" s="9" t="str">
        <x:v>速腾聚创</x:v>
      </x:c>
      <x:c r="C29" s="25" t="n">
        <x:v>2015</x:v>
      </x:c>
      <x:c r="D29" s="9" t="str">
        <x:v>早期融资阶段</x:v>
      </x:c>
      <x:c r="E29" s="9" t="str">
        <x:v>教学估值情景</x:v>
      </x:c>
      <x:c r="F29" s="9" t="str">
        <x:v>亿元人民币</x:v>
      </x:c>
      <x:c r="G29" s="45" t="n">
        <x:v>1</x:v>
      </x:c>
      <x:c r="H29" s="45" t="n">
        <x:v>15</x:v>
      </x:c>
      <x:c r="I29" s="46"/>
      <x:c r="J29" s="47" t="n">
        <x:v>1</x:v>
      </x:c>
      <x:c r="K29" s="48" t="n">
        <x:f>IF(ISBLANK(J29),NA(),IF(E29="人工指定倍率",IF(ISBLANK(I29),NA(),I29),IF(OR(ISBLANK(G29),ISBLANK(H29)),NA(),H29/G29))*J29)</x:f>
        <x:v>15</x:v>
      </x:c>
      <x:c r="L29" s="49" t="n">
        <x:f>K29-1</x:f>
        <x:v>14</x:v>
      </x:c>
      <x:c r="M29" s="50" t="n">
        <x:f>$B$2</x:f>
        <x:v>500</x:v>
      </x:c>
      <x:c r="N29" s="50" t="n">
        <x:f>M29*K29</x:f>
        <x:v>7500</x:v>
      </x:c>
      <x:c r="O29" s="50" t="n">
        <x:f>N29-M29</x:f>
        <x:v>7000</x:v>
      </x:c>
      <x:c r="P29" s="9" t="str">
        <x:v>2026-10-14教学终点</x:v>
      </x:c>
      <x:c r="Q29" s="9" t="str">
        <x:v>正向参考</x:v>
      </x:c>
      <x:c r="R29" s="9" t="str">
        <x:v>模拟研发客户扩展到量产定点，估值15倍；比同赛道案例低的倍率体现进入价格与业务路径差异。</x:v>
      </x:c>
    </x:row>
    <x:row r="30" ht="66" customHeight="1">
      <x:c r="A30" s="13" t="str">
        <x:v>VC24</x:v>
      </x:c>
      <x:c r="B30" s="13" t="str">
        <x:v>绿的谐波</x:v>
      </x:c>
      <x:c r="C30" s="26" t="n">
        <x:v>2016</x:v>
      </x:c>
      <x:c r="D30" s="13" t="str">
        <x:v>外部融资前后阶段</x:v>
      </x:c>
      <x:c r="E30" s="13" t="str">
        <x:v>教学估值情景</x:v>
      </x:c>
      <x:c r="F30" s="13" t="str">
        <x:v>亿元人民币</x:v>
      </x:c>
      <x:c r="G30" s="45" t="n">
        <x:v>2</x:v>
      </x:c>
      <x:c r="H30" s="45" t="n">
        <x:v>40</x:v>
      </x:c>
      <x:c r="I30" s="46"/>
      <x:c r="J30" s="47" t="n">
        <x:v>1</x:v>
      </x:c>
      <x:c r="K30" s="51" t="n">
        <x:f>IF(ISBLANK(J30),NA(),IF(E30="人工指定倍率",IF(ISBLANK(I30),NA(),I30),IF(OR(ISBLANK(G30),ISBLANK(H30)),NA(),H30/G30))*J30)</x:f>
        <x:v>20</x:v>
      </x:c>
      <x:c r="L30" s="52" t="n">
        <x:f>K30-1</x:f>
        <x:v>19</x:v>
      </x:c>
      <x:c r="M30" s="53" t="n">
        <x:f>$B$2</x:f>
        <x:v>500</x:v>
      </x:c>
      <x:c r="N30" s="53" t="n">
        <x:f>M30*K30</x:f>
        <x:v>10000</x:v>
      </x:c>
      <x:c r="O30" s="53" t="n">
        <x:f>N30-M30</x:f>
        <x:v>9500</x:v>
      </x:c>
      <x:c r="P30" s="13" t="str">
        <x:v>2026-10-14教学终点</x:v>
      </x:c>
      <x:c r="Q30" s="13" t="str">
        <x:v>正向参考</x:v>
      </x:c>
      <x:c r="R30" s="13" t="str">
        <x:v>模拟工艺与客户验证形成20倍估值，终点和进入价均为教学参数。</x:v>
      </x:c>
    </x:row>
    <x:row r="31" ht="66" customHeight="1">
      <x:c r="A31" s="9" t="str">
        <x:v>VC25</x:v>
      </x:c>
      <x:c r="B31" s="9" t="str">
        <x:v>因时机器人</x:v>
      </x:c>
      <x:c r="C31" s="25" t="n">
        <x:v>2017</x:v>
      </x:c>
      <x:c r="D31" s="9" t="str">
        <x:v>Pre-A线索阶段</x:v>
      </x:c>
      <x:c r="E31" s="9" t="str">
        <x:v>教学估值情景</x:v>
      </x:c>
      <x:c r="F31" s="9" t="str">
        <x:v>亿元人民币</x:v>
      </x:c>
      <x:c r="G31" s="45" t="n">
        <x:v>0.5</x:v>
      </x:c>
      <x:c r="H31" s="45" t="n">
        <x:v>10</x:v>
      </x:c>
      <x:c r="I31" s="46"/>
      <x:c r="J31" s="47" t="n">
        <x:v>1</x:v>
      </x:c>
      <x:c r="K31" s="48" t="n">
        <x:f>IF(ISBLANK(J31),NA(),IF(E31="人工指定倍率",IF(ISBLANK(I31),NA(),I31),IF(OR(ISBLANK(G31),ISBLANK(H31)),NA(),H31/G31))*J31)</x:f>
        <x:v>20</x:v>
      </x:c>
      <x:c r="L31" s="49" t="n">
        <x:f>K31-1</x:f>
        <x:v>19</x:v>
      </x:c>
      <x:c r="M31" s="50" t="n">
        <x:f>$B$2</x:f>
        <x:v>500</x:v>
      </x:c>
      <x:c r="N31" s="50" t="n">
        <x:f>M31*K31</x:f>
        <x:v>10000</x:v>
      </x:c>
      <x:c r="O31" s="50" t="n">
        <x:f>N31-M31</x:f>
        <x:v>9500</x:v>
      </x:c>
      <x:c r="P31" s="9" t="str">
        <x:v>2026-10-14教学终点</x:v>
      </x:c>
      <x:c r="Q31" s="9" t="str">
        <x:v>正向参考</x:v>
      </x:c>
      <x:c r="R31" s="9" t="str">
        <x:v>模拟微型执行器与后续整机采购建立10亿元教学终点，估值20倍；不引用后来客户数据作为早期信息。</x:v>
      </x:c>
    </x:row>
    <x:row r="32" ht="66" customHeight="1">
      <x:c r="A32" s="13" t="str">
        <x:v>VC26</x:v>
      </x:c>
      <x:c r="B32" s="13" t="str">
        <x:v>蓝点触控</x:v>
      </x:c>
      <x:c r="C32" s="26" t="n">
        <x:v>2020</x:v>
      </x:c>
      <x:c r="D32" s="13" t="str">
        <x:v>天使阶段</x:v>
      </x:c>
      <x:c r="E32" s="13" t="str">
        <x:v>教学估值情景</x:v>
      </x:c>
      <x:c r="F32" s="13" t="str">
        <x:v>亿元人民币</x:v>
      </x:c>
      <x:c r="G32" s="45" t="n">
        <x:v>0.5</x:v>
      </x:c>
      <x:c r="H32" s="45" t="n">
        <x:v>3</x:v>
      </x:c>
      <x:c r="I32" s="46"/>
      <x:c r="J32" s="47" t="n">
        <x:v>1</x:v>
      </x:c>
      <x:c r="K32" s="51" t="n">
        <x:f>IF(ISBLANK(J32),NA(),IF(E32="人工指定倍率",IF(ISBLANK(I32),NA(),I32),IF(OR(ISBLANK(G32),ISBLANK(H32)),NA(),H32/G32))*J32)</x:f>
        <x:v>6</x:v>
      </x:c>
      <x:c r="L32" s="52" t="n">
        <x:f>K32-1</x:f>
        <x:v>5</x:v>
      </x:c>
      <x:c r="M32" s="53" t="n">
        <x:f>$B$2</x:f>
        <x:v>500</x:v>
      </x:c>
      <x:c r="N32" s="53" t="n">
        <x:f>M32*K32</x:f>
        <x:v>3000</x:v>
      </x:c>
      <x:c r="O32" s="53" t="n">
        <x:f>N32-M32</x:f>
        <x:v>2500</x:v>
      </x:c>
      <x:c r="P32" s="13" t="str">
        <x:v>2026-10-14教学终点</x:v>
      </x:c>
      <x:c r="Q32" s="13" t="str">
        <x:v>成长待定</x:v>
      </x:c>
      <x:c r="R32" s="13" t="str">
        <x:v>模拟工业力控部件获得多个工艺验证，估值6倍；真实估值不可比时使用教学定价。</x:v>
      </x:c>
    </x:row>
    <x:row r="33" ht="66" customHeight="1">
      <x:c r="A33" s="9" t="str">
        <x:v>VC27</x:v>
      </x:c>
      <x:c r="B33" s="9" t="str">
        <x:v>帕西尼</x:v>
      </x:c>
      <x:c r="C33" s="25" t="n">
        <x:v>2021</x:v>
      </x:c>
      <x:c r="D33" s="9" t="str">
        <x:v>早期／孵化阶段</x:v>
      </x:c>
      <x:c r="E33" s="9" t="str">
        <x:v>教学估值情景</x:v>
      </x:c>
      <x:c r="F33" s="9" t="str">
        <x:v>亿元人民币</x:v>
      </x:c>
      <x:c r="G33" s="45" t="n">
        <x:v>1</x:v>
      </x:c>
      <x:c r="H33" s="45" t="n">
        <x:v>8</x:v>
      </x:c>
      <x:c r="I33" s="46"/>
      <x:c r="J33" s="47" t="n">
        <x:v>1</x:v>
      </x:c>
      <x:c r="K33" s="48" t="n">
        <x:f>IF(ISBLANK(J33),NA(),IF(E33="人工指定倍率",IF(ISBLANK(I33),NA(),I33),IF(OR(ISBLANK(G33),ISBLANK(H33)),NA(),H33/G33))*J33)</x:f>
        <x:v>8</x:v>
      </x:c>
      <x:c r="L33" s="49" t="n">
        <x:f>K33-1</x:f>
        <x:v>7</x:v>
      </x:c>
      <x:c r="M33" s="50" t="n">
        <x:f>$B$2</x:f>
        <x:v>500</x:v>
      </x:c>
      <x:c r="N33" s="50" t="n">
        <x:f>M33*K33</x:f>
        <x:v>4000</x:v>
      </x:c>
      <x:c r="O33" s="50" t="n">
        <x:f>N33-M33</x:f>
        <x:v>3500</x:v>
      </x:c>
      <x:c r="P33" s="9" t="str">
        <x:v>2026-10-14教学终点</x:v>
      </x:c>
      <x:c r="Q33" s="9" t="str">
        <x:v>成长待定</x:v>
      </x:c>
      <x:c r="R33" s="9" t="str">
        <x:v>模拟触觉产品进入更多整机合作，估值8倍；没有采用媒体百亿终点。</x:v>
      </x:c>
    </x:row>
    <x:row r="34" ht="66" customHeight="1">
      <x:c r="A34" s="13" t="str">
        <x:v>VC28</x:v>
      </x:c>
      <x:c r="B34" s="13" t="str">
        <x:v>毫末智行</x:v>
      </x:c>
      <x:c r="C34" s="26" t="n">
        <x:v>2021</x:v>
      </x:c>
      <x:c r="D34" s="13" t="str">
        <x:v>A轮前后（人工进入年）</x:v>
      </x:c>
      <x:c r="E34" s="13" t="str">
        <x:v>人工确认基准</x:v>
      </x:c>
      <x:c r="F34" s="13" t="str">
        <x:v>估值指数</x:v>
      </x:c>
      <x:c r="G34" s="45" t="n">
        <x:v>1</x:v>
      </x:c>
      <x:c r="H34" s="45" t="n">
        <x:v>0</x:v>
      </x:c>
      <x:c r="I34" s="46"/>
      <x:c r="J34" s="47" t="n">
        <x:v>1</x:v>
      </x:c>
      <x:c r="K34" s="51" t="n">
        <x:f>IF(ISBLANK(J34),NA(),IF(E34="人工指定倍率",IF(ISBLANK(I34),NA(),I34),IF(OR(ISBLANK(G34),ISBLANK(H34)),NA(),H34/G34))*J34)</x:f>
        <x:v>0</x:v>
      </x:c>
      <x:c r="L34" s="52" t="n">
        <x:f>K34-1</x:f>
        <x:v>-1</x:v>
      </x:c>
      <x:c r="M34" s="53" t="n">
        <x:f>$B$2</x:f>
        <x:v>500</x:v>
      </x:c>
      <x:c r="N34" s="53" t="n">
        <x:f>M34*K34</x:f>
        <x:v>0</x:v>
      </x:c>
      <x:c r="O34" s="53" t="n">
        <x:f>N34-M34</x:f>
        <x:v>-500</x:v>
      </x:c>
      <x:c r="P34" s="13" t="str">
        <x:v>人工终点，具体日待核</x:v>
      </x:c>
      <x:c r="Q34" s="13" t="str">
        <x:v>重大挫折</x:v>
      </x:c>
      <x:c r="R34" s="13" t="str">
        <x:v>保留人工0倍，但纠正“最终破产”为停工及经营挫折下的游戏归零，司法破产与实际清偿未核。</x:v>
      </x:c>
    </x:row>
    <x:row r="35" ht="66" customHeight="1">
      <x:c r="A35" s="9" t="str">
        <x:v>VC29</x:v>
      </x:c>
      <x:c r="B35" s="9" t="str">
        <x:v>Momenta</x:v>
      </x:c>
      <x:c r="C35" s="25" t="n">
        <x:v>2016</x:v>
      </x:c>
      <x:c r="D35" s="9" t="str">
        <x:v>天使阶段</x:v>
      </x:c>
      <x:c r="E35" s="9" t="str">
        <x:v>教学估值情景</x:v>
      </x:c>
      <x:c r="F35" s="9" t="str">
        <x:v>亿元人民币</x:v>
      </x:c>
      <x:c r="G35" s="45" t="n">
        <x:v>1</x:v>
      </x:c>
      <x:c r="H35" s="45" t="n">
        <x:v>20</x:v>
      </x:c>
      <x:c r="I35" s="46"/>
      <x:c r="J35" s="47" t="n">
        <x:v>1</x:v>
      </x:c>
      <x:c r="K35" s="48" t="n">
        <x:f>IF(ISBLANK(J35),NA(),IF(E35="人工指定倍率",IF(ISBLANK(I35),NA(),I35),IF(OR(ISBLANK(G35),ISBLANK(H35)),NA(),H35/G35))*J35)</x:f>
        <x:v>20</x:v>
      </x:c>
      <x:c r="L35" s="49" t="n">
        <x:f>K35-1</x:f>
        <x:v>19</x:v>
      </x:c>
      <x:c r="M35" s="50" t="n">
        <x:f>$B$2</x:f>
        <x:v>500</x:v>
      </x:c>
      <x:c r="N35" s="50" t="n">
        <x:f>M35*K35</x:f>
        <x:v>10000</x:v>
      </x:c>
      <x:c r="O35" s="50" t="n">
        <x:f>N35-M35</x:f>
        <x:v>9500</x:v>
      </x:c>
      <x:c r="P35" s="9" t="str">
        <x:v>2026-10-14教学终点</x:v>
      </x:c>
      <x:c r="Q35" s="9" t="str">
        <x:v>成长待定</x:v>
      </x:c>
      <x:c r="R35" s="9" t="str">
        <x:v>模拟数据闭环获得量产车型合作，估值20倍；不是未来安全能力或投资退出的保证。</x:v>
      </x:c>
    </x:row>
    <x:row r="36" ht="66" customHeight="1">
      <x:c r="A36" s="13" t="str">
        <x:v>VC30</x:v>
      </x:c>
      <x:c r="B36" s="13" t="str">
        <x:v>纵目科技</x:v>
      </x:c>
      <x:c r="C36" s="26" t="n">
        <x:v>2015</x:v>
      </x:c>
      <x:c r="D36" s="13" t="str">
        <x:v>早期融资阶段</x:v>
      </x:c>
      <x:c r="E36" s="13" t="str">
        <x:v>损失回收情景</x:v>
      </x:c>
      <x:c r="F36" s="13" t="str">
        <x:v>估值指数</x:v>
      </x:c>
      <x:c r="G36" s="45" t="n">
        <x:v>1</x:v>
      </x:c>
      <x:c r="H36" s="45" t="n">
        <x:v>0.1</x:v>
      </x:c>
      <x:c r="I36" s="46"/>
      <x:c r="J36" s="47" t="n">
        <x:v>1</x:v>
      </x:c>
      <x:c r="K36" s="51" t="n">
        <x:f>IF(ISBLANK(J36),NA(),IF(E36="人工指定倍率",IF(ISBLANK(I36),NA(),I36),IF(OR(ISBLANK(G36),ISBLANK(H36)),NA(),H36/G36))*J36)</x:f>
        <x:v>0.1</x:v>
      </x:c>
      <x:c r="L36" s="52" t="n">
        <x:f>K36-1</x:f>
        <x:v>-0.9</x:v>
      </x:c>
      <x:c r="M36" s="53" t="n">
        <x:f>$B$2</x:f>
        <x:v>500</x:v>
      </x:c>
      <x:c r="N36" s="53" t="n">
        <x:f>M36*K36</x:f>
        <x:v>50</x:v>
      </x:c>
      <x:c r="O36" s="53" t="n">
        <x:f>N36-M36</x:f>
        <x:v>-450</x:v>
      </x:c>
      <x:c r="P36" s="13" t="str">
        <x:v>公开程序节点／教学回收</x:v>
      </x:c>
      <x:c r="Q36" s="13" t="str">
        <x:v>重大挫折</x:v>
      </x:c>
      <x:c r="R36" s="13" t="str">
        <x:v>设置普通股仅回收10%的重整教学情景，不是已披露清偿率；净收益率-90%。</x:v>
      </x:c>
    </x:row>
    <x:row r="37" ht="66" customHeight="1">
      <x:c r="A37" s="9" t="str">
        <x:v>VC31</x:v>
      </x:c>
      <x:c r="B37" s="9" t="str">
        <x:v>沐曦</x:v>
      </x:c>
      <x:c r="C37" s="25" t="n">
        <x:v>2020</x:v>
      </x:c>
      <x:c r="D37" s="9" t="str">
        <x:v>首轮（人工基准）</x:v>
      </x:c>
      <x:c r="E37" s="9" t="str">
        <x:v>人工确认基准</x:v>
      </x:c>
      <x:c r="F37" s="9" t="str">
        <x:v>亿元人民币</x:v>
      </x:c>
      <x:c r="G37" s="45" t="n">
        <x:v>4.8</x:v>
      </x:c>
      <x:c r="H37" s="45" t="n">
        <x:v>210</x:v>
      </x:c>
      <x:c r="I37" s="46"/>
      <x:c r="J37" s="47" t="n">
        <x:v>1</x:v>
      </x:c>
      <x:c r="K37" s="48" t="n">
        <x:f>IF(ISBLANK(J37),NA(),IF(E37="人工指定倍率",IF(ISBLANK(I37),NA(),I37),IF(OR(ISBLANK(G37),ISBLANK(H37)),NA(),H37/G37))*J37)</x:f>
        <x:v>43.75</x:v>
      </x:c>
      <x:c r="L37" s="49" t="n">
        <x:f>K37-1</x:f>
        <x:v>42.75</x:v>
      </x:c>
      <x:c r="M37" s="50" t="n">
        <x:f>$B$2</x:f>
        <x:v>500</x:v>
      </x:c>
      <x:c r="N37" s="50" t="n">
        <x:f>M37*K37</x:f>
        <x:v>21875</x:v>
      </x:c>
      <x:c r="O37" s="50" t="n">
        <x:f>N37-M37</x:f>
        <x:v>21375</x:v>
      </x:c>
      <x:c r="P37" s="9" t="str">
        <x:v>2025年Pre-IPO（人工）</x:v>
      </x:c>
      <x:c r="Q37" s="9" t="str">
        <x:v>正向参考</x:v>
      </x:c>
      <x:c r="R37" s="9" t="str">
        <x:v>保留210÷4.8=43.75倍，锁定用户2025年Pre-IPO终点；忽略稀释、税费及退出折价。</x:v>
      </x:c>
    </x:row>
    <x:row r="38" ht="66" customHeight="1">
      <x:c r="A38" s="13" t="str">
        <x:v>VC32</x:v>
      </x:c>
      <x:c r="B38" s="13" t="str">
        <x:v>地平线</x:v>
      </x:c>
      <x:c r="C38" s="26" t="n">
        <x:v>2015</x:v>
      </x:c>
      <x:c r="D38" s="13" t="str">
        <x:v>首轮融资阶段</x:v>
      </x:c>
      <x:c r="E38" s="13" t="str">
        <x:v>教学估值情景</x:v>
      </x:c>
      <x:c r="F38" s="13" t="str">
        <x:v>亿元人民币</x:v>
      </x:c>
      <x:c r="G38" s="45" t="n">
        <x:v>3</x:v>
      </x:c>
      <x:c r="H38" s="45" t="n">
        <x:v>60</x:v>
      </x:c>
      <x:c r="I38" s="46"/>
      <x:c r="J38" s="47" t="n">
        <x:v>1</x:v>
      </x:c>
      <x:c r="K38" s="51" t="n">
        <x:f>IF(ISBLANK(J38),NA(),IF(E38="人工指定倍率",IF(ISBLANK(I38),NA(),I38),IF(OR(ISBLANK(G38),ISBLANK(H38)),NA(),H38/G38))*J38)</x:f>
        <x:v>20</x:v>
      </x:c>
      <x:c r="L38" s="52" t="n">
        <x:f>K38-1</x:f>
        <x:v>19</x:v>
      </x:c>
      <x:c r="M38" s="53" t="n">
        <x:f>$B$2</x:f>
        <x:v>500</x:v>
      </x:c>
      <x:c r="N38" s="53" t="n">
        <x:f>M38*K38</x:f>
        <x:v>10000</x:v>
      </x:c>
      <x:c r="O38" s="53" t="n">
        <x:f>N38-M38</x:f>
        <x:v>9500</x:v>
      </x:c>
      <x:c r="P38" s="13" t="str">
        <x:v>2026-10-14教学终点</x:v>
      </x:c>
      <x:c r="Q38" s="13" t="str">
        <x:v>正向参考</x:v>
      </x:c>
      <x:c r="R38" s="13" t="str">
        <x:v>模拟汽车AI芯片形成量产客户，估值20倍；不把上市本身视为现金收益。</x:v>
      </x:c>
    </x:row>
    <x:row r="39" ht="66" customHeight="1">
      <x:c r="A39" s="9" t="str">
        <x:v>VC33</x:v>
      </x:c>
      <x:c r="B39" s="9" t="str">
        <x:v>摩尔线程</x:v>
      </x:c>
      <x:c r="C39" s="25" t="n">
        <x:v>2020</x:v>
      </x:c>
      <x:c r="D39" s="9" t="str">
        <x:v>天使阶段</x:v>
      </x:c>
      <x:c r="E39" s="9" t="str">
        <x:v>教学估值情景</x:v>
      </x:c>
      <x:c r="F39" s="9" t="str">
        <x:v>亿元人民币</x:v>
      </x:c>
      <x:c r="G39" s="45" t="n">
        <x:v>8</x:v>
      </x:c>
      <x:c r="H39" s="45" t="n">
        <x:v>40</x:v>
      </x:c>
      <x:c r="I39" s="46"/>
      <x:c r="J39" s="47" t="n">
        <x:v>1</x:v>
      </x:c>
      <x:c r="K39" s="48" t="n">
        <x:f>IF(ISBLANK(J39),NA(),IF(E39="人工指定倍率",IF(ISBLANK(I39),NA(),I39),IF(OR(ISBLANK(G39),ISBLANK(H39)),NA(),H39/G39))*J39)</x:f>
        <x:v>5</x:v>
      </x:c>
      <x:c r="L39" s="49" t="n">
        <x:f>K39-1</x:f>
        <x:v>4</x:v>
      </x:c>
      <x:c r="M39" s="50" t="n">
        <x:f>$B$2</x:f>
        <x:v>500</x:v>
      </x:c>
      <x:c r="N39" s="50" t="n">
        <x:f>M39*K39</x:f>
        <x:v>2500</x:v>
      </x:c>
      <x:c r="O39" s="50" t="n">
        <x:f>N39-M39</x:f>
        <x:v>2000</x:v>
      </x:c>
      <x:c r="P39" s="9" t="str">
        <x:v>2026-10-14教学终点</x:v>
      </x:c>
      <x:c r="Q39" s="9" t="str">
        <x:v>成长待定</x:v>
      </x:c>
      <x:c r="R39" s="9" t="str">
        <x:v>模拟首代GPU及行业适配形成5倍估值；与沐曦不同，不复制其人工回报。</x:v>
      </x:c>
    </x:row>
    <x:row r="40" ht="66" customHeight="1">
      <x:c r="A40" s="13" t="str">
        <x:v>VC34</x:v>
      </x:c>
      <x:c r="B40" s="13" t="str">
        <x:v>哲库科技</x:v>
      </x:c>
      <x:c r="C40" s="26" t="n">
        <x:v>2019</x:v>
      </x:c>
      <x:c r="D40" s="13" t="str">
        <x:v>企业内孵化教学进入</x:v>
      </x:c>
      <x:c r="E40" s="13" t="str">
        <x:v>损失回收情景</x:v>
      </x:c>
      <x:c r="F40" s="13" t="str">
        <x:v>估值指数</x:v>
      </x:c>
      <x:c r="G40" s="45" t="n">
        <x:v>1</x:v>
      </x:c>
      <x:c r="H40" s="45" t="n">
        <x:v>0</x:v>
      </x:c>
      <x:c r="I40" s="46"/>
      <x:c r="J40" s="47" t="n">
        <x:v>1</x:v>
      </x:c>
      <x:c r="K40" s="51" t="n">
        <x:f>IF(ISBLANK(J40),NA(),IF(E40="人工指定倍率",IF(ISBLANK(I40),NA(),I40),IF(OR(ISBLANK(G40),ISBLANK(H40)),NA(),H40/G40))*J40)</x:f>
        <x:v>0</x:v>
      </x:c>
      <x:c r="L40" s="52" t="n">
        <x:f>K40-1</x:f>
        <x:v>-1</x:v>
      </x:c>
      <x:c r="M40" s="53" t="n">
        <x:f>$B$2</x:f>
        <x:v>500</x:v>
      </x:c>
      <x:c r="N40" s="53" t="n">
        <x:f>M40*K40</x:f>
        <x:v>0</x:v>
      </x:c>
      <x:c r="O40" s="53" t="n">
        <x:f>N40-M40</x:f>
        <x:v>-500</x:v>
      </x:c>
      <x:c r="P40" s="13" t="str">
        <x:v>公开程序节点／教学回收</x:v>
      </x:c>
      <x:c r="Q40" s="13" t="str">
        <x:v>重大挫折</x:v>
      </x:c>
      <x:c r="R40" s="13" t="str">
        <x:v>企业内部计划关停的虚拟股权归零情景；不声称存在真实外部VC投资或相应损失。</x:v>
      </x:c>
    </x:row>
    <x:row r="41" ht="66" customHeight="1">
      <x:c r="A41" s="9" t="str">
        <x:v>VC35</x:v>
      </x:c>
      <x:c r="B41" s="9" t="str">
        <x:v>月之暗面Kimi</x:v>
      </x:c>
      <x:c r="C41" s="25" t="n">
        <x:v>2023</x:v>
      </x:c>
      <x:c r="D41" s="9" t="str">
        <x:v>天使阶段（人工基准）</x:v>
      </x:c>
      <x:c r="E41" s="9" t="str">
        <x:v>人工确认基准</x:v>
      </x:c>
      <x:c r="F41" s="9" t="str">
        <x:v>亿美元</x:v>
      </x:c>
      <x:c r="G41" s="45" t="n">
        <x:v>3</x:v>
      </x:c>
      <x:c r="H41" s="45" t="n">
        <x:v>35</x:v>
      </x:c>
      <x:c r="I41" s="46"/>
      <x:c r="J41" s="47" t="n">
        <x:v>1</x:v>
      </x:c>
      <x:c r="K41" s="48" t="n">
        <x:f>IF(ISBLANK(J41),NA(),IF(E41="人工指定倍率",IF(ISBLANK(I41),NA(),I41),IF(OR(ISBLANK(G41),ISBLANK(H41)),NA(),H41/G41))*J41)</x:f>
        <x:v>11.666666666666666</x:v>
      </x:c>
      <x:c r="L41" s="49" t="n">
        <x:f>K41-1</x:f>
        <x:v>10.666666666666666</x:v>
      </x:c>
      <x:c r="M41" s="50" t="n">
        <x:f>$B$2</x:f>
        <x:v>500</x:v>
      </x:c>
      <x:c r="N41" s="50" t="n">
        <x:f>M41*K41</x:f>
        <x:v>5833.333333333333</x:v>
      </x:c>
      <x:c r="O41" s="50" t="n">
        <x:f>N41-M41</x:f>
        <x:v>5333.333333333333</x:v>
      </x:c>
      <x:c r="P41" s="9" t="str">
        <x:v>2026年（人工，日期待核）</x:v>
      </x:c>
      <x:c r="Q41" s="9" t="str">
        <x:v>正向参考</x:v>
      </x:c>
      <x:c r="R41" s="9" t="str">
        <x:v>保留35÷3=11.6667倍，属于人工融资估值参考，未核实现金退出。</x:v>
      </x:c>
    </x:row>
    <x:row r="42" ht="66" customHeight="1">
      <x:c r="A42" s="13" t="str">
        <x:v>VC36</x:v>
      </x:c>
      <x:c r="B42" s="13" t="str">
        <x:v>智谱AI</x:v>
      </x:c>
      <x:c r="C42" s="26" t="n">
        <x:v>2019</x:v>
      </x:c>
      <x:c r="D42" s="13" t="str">
        <x:v>首轮（人工基准）</x:v>
      </x:c>
      <x:c r="E42" s="13" t="str">
        <x:v>人工确认基准</x:v>
      </x:c>
      <x:c r="F42" s="13" t="str">
        <x:v>亿元人民币</x:v>
      </x:c>
      <x:c r="G42" s="45" t="n">
        <x:v>4</x:v>
      </x:c>
      <x:c r="H42" s="45" t="n">
        <x:v>2500</x:v>
      </x:c>
      <x:c r="I42" s="46"/>
      <x:c r="J42" s="47" t="n">
        <x:v>1</x:v>
      </x:c>
      <x:c r="K42" s="51" t="n">
        <x:f>IF(ISBLANK(J42),NA(),IF(E42="人工指定倍率",IF(ISBLANK(I42),NA(),I42),IF(OR(ISBLANK(G42),ISBLANK(H42)),NA(),H42/G42))*J42)</x:f>
        <x:v>625</x:v>
      </x:c>
      <x:c r="L42" s="52" t="n">
        <x:f>K42-1</x:f>
        <x:v>624</x:v>
      </x:c>
      <x:c r="M42" s="53" t="n">
        <x:f>$B$2</x:f>
        <x:v>500</x:v>
      </x:c>
      <x:c r="N42" s="53" t="n">
        <x:f>M42*K42</x:f>
        <x:v>312500</x:v>
      </x:c>
      <x:c r="O42" s="53" t="n">
        <x:f>N42-M42</x:f>
        <x:v>312000</x:v>
      </x:c>
      <x:c r="P42" s="13" t="str">
        <x:v>人工终点，具体日待核</x:v>
      </x:c>
      <x:c r="Q42" s="13" t="str">
        <x:v>正向参考</x:v>
      </x:c>
      <x:c r="R42" s="13" t="str">
        <x:v>保留2500÷4=625倍，未验证同主体市值日期；先作为人工基准，不宣称已实现回报。</x:v>
      </x:c>
    </x:row>
    <x:row r="43" ht="66" customHeight="1">
      <x:c r="A43" s="9" t="str">
        <x:v>VC37</x:v>
      </x:c>
      <x:c r="B43" s="9" t="str">
        <x:v>百川智能</x:v>
      </x:c>
      <x:c r="C43" s="25" t="n">
        <x:v>2023</x:v>
      </x:c>
      <x:c r="D43" s="9" t="str">
        <x:v>创办期／天使阶段</x:v>
      </x:c>
      <x:c r="E43" s="9" t="str">
        <x:v>成本持有情景</x:v>
      </x:c>
      <x:c r="F43" s="9" t="str">
        <x:v>估值指数</x:v>
      </x:c>
      <x:c r="G43" s="45" t="n">
        <x:v>1</x:v>
      </x:c>
      <x:c r="H43" s="45" t="n">
        <x:v>1</x:v>
      </x:c>
      <x:c r="I43" s="46"/>
      <x:c r="J43" s="47" t="n">
        <x:v>1</x:v>
      </x:c>
      <x:c r="K43" s="48" t="n">
        <x:f>IF(ISBLANK(J43),NA(),IF(E43="人工指定倍率",IF(ISBLANK(I43),NA(),I43),IF(OR(ISBLANK(G43),ISBLANK(H43)),NA(),H43/G43))*J43)</x:f>
        <x:v>1</x:v>
      </x:c>
      <x:c r="L43" s="49" t="n">
        <x:f>K43-1</x:f>
        <x:v>0</x:v>
      </x:c>
      <x:c r="M43" s="50" t="n">
        <x:f>$B$2</x:f>
        <x:v>500</x:v>
      </x:c>
      <x:c r="N43" s="50" t="n">
        <x:f>M43*K43</x:f>
        <x:v>500</x:v>
      </x:c>
      <x:c r="O43" s="50" t="n">
        <x:f>N43-M43</x:f>
        <x:v>0</x:v>
      </x:c>
      <x:c r="P43" s="9" t="str">
        <x:v>截至2026-10-14成本持有</x:v>
      </x:c>
      <x:c r="Q43" s="9" t="str">
        <x:v>成长待定</x:v>
      </x:c>
      <x:c r="R43" s="9" t="str">
        <x:v>通用到垂直应用的投入期且无可比估值，按成本持有1倍教学结算；不把转型定性为失败。</x:v>
      </x:c>
    </x:row>
    <x:row r="44" ht="66" customHeight="1">
      <x:c r="A44" s="13" t="str">
        <x:v>VC38</x:v>
      </x:c>
      <x:c r="B44" s="13" t="str">
        <x:v>VAST</x:v>
      </x:c>
      <x:c r="C44" s="26" t="n">
        <x:v>2023</x:v>
      </x:c>
      <x:c r="D44" s="13" t="str">
        <x:v>早期阶段</x:v>
      </x:c>
      <x:c r="E44" s="13" t="str">
        <x:v>教学估值情景</x:v>
      </x:c>
      <x:c r="F44" s="13" t="str">
        <x:v>亿元人民币</x:v>
      </x:c>
      <x:c r="G44" s="45" t="n">
        <x:v>1</x:v>
      </x:c>
      <x:c r="H44" s="45" t="n">
        <x:v>4</x:v>
      </x:c>
      <x:c r="I44" s="46"/>
      <x:c r="J44" s="47" t="n">
        <x:v>1</x:v>
      </x:c>
      <x:c r="K44" s="51" t="n">
        <x:f>IF(ISBLANK(J44),NA(),IF(E44="人工指定倍率",IF(ISBLANK(I44),NA(),I44),IF(OR(ISBLANK(G44),ISBLANK(H44)),NA(),H44/G44))*J44)</x:f>
        <x:v>4</x:v>
      </x:c>
      <x:c r="L44" s="52" t="n">
        <x:f>K44-1</x:f>
        <x:v>3</x:v>
      </x:c>
      <x:c r="M44" s="53" t="n">
        <x:f>$B$2</x:f>
        <x:v>500</x:v>
      </x:c>
      <x:c r="N44" s="53" t="n">
        <x:f>M44*K44</x:f>
        <x:v>2000</x:v>
      </x:c>
      <x:c r="O44" s="53" t="n">
        <x:f>N44-M44</x:f>
        <x:v>1500</x:v>
      </x:c>
      <x:c r="P44" s="13" t="str">
        <x:v>2026-10-14教学终点</x:v>
      </x:c>
      <x:c r="Q44" s="13" t="str">
        <x:v>成长待定</x:v>
      </x:c>
      <x:c r="R44" s="13" t="str">
        <x:v>模拟3D创作工具形成一部分付费留存，估值4倍；收入与估值均未按真实交易断言。</x:v>
      </x:c>
    </x:row>
    <x:row r="45" ht="66" customHeight="1">
      <x:c r="A45" s="9" t="str">
        <x:v>VC39</x:v>
      </x:c>
      <x:c r="B45" s="9" t="str">
        <x:v>群核科技</x:v>
      </x:c>
      <x:c r="C45" s="25" t="n">
        <x:v>2013</x:v>
      </x:c>
      <x:c r="D45" s="9" t="str">
        <x:v>早期融资阶段</x:v>
      </x:c>
      <x:c r="E45" s="9" t="str">
        <x:v>教学估值情景</x:v>
      </x:c>
      <x:c r="F45" s="9" t="str">
        <x:v>亿元人民币</x:v>
      </x:c>
      <x:c r="G45" s="45" t="n">
        <x:v>0.5</x:v>
      </x:c>
      <x:c r="H45" s="45" t="n">
        <x:v>5</x:v>
      </x:c>
      <x:c r="I45" s="46"/>
      <x:c r="J45" s="47" t="n">
        <x:v>1</x:v>
      </x:c>
      <x:c r="K45" s="48" t="n">
        <x:f>IF(ISBLANK(J45),NA(),IF(E45="人工指定倍率",IF(ISBLANK(I45),NA(),I45),IF(OR(ISBLANK(G45),ISBLANK(H45)),NA(),H45/G45))*J45)</x:f>
        <x:v>10</x:v>
      </x:c>
      <x:c r="L45" s="49" t="n">
        <x:f>K45-1</x:f>
        <x:v>9</x:v>
      </x:c>
      <x:c r="M45" s="50" t="n">
        <x:f>$B$2</x:f>
        <x:v>500</x:v>
      </x:c>
      <x:c r="N45" s="50" t="n">
        <x:f>M45*K45</x:f>
        <x:v>5000</x:v>
      </x:c>
      <x:c r="O45" s="50" t="n">
        <x:f>N45-M45</x:f>
        <x:v>4500</x:v>
      </x:c>
      <x:c r="P45" s="9" t="str">
        <x:v>2026-10-14教学终点</x:v>
      </x:c>
      <x:c r="Q45" s="9" t="str">
        <x:v>成长待定</x:v>
      </x:c>
      <x:c r="R45" s="9" t="str">
        <x:v>模拟设计软件建立重复付费客户，估值10倍；空间智能延伸不额外虚增终点。</x:v>
      </x:c>
    </x:row>
    <x:row r="46" ht="66" customHeight="1">
      <x:c r="A46" s="13" t="str">
        <x:v>VC40</x:v>
      </x:c>
      <x:c r="B46" s="13" t="str">
        <x:v>Scale AI</x:v>
      </x:c>
      <x:c r="C46" s="26" t="n">
        <x:v>2021</x:v>
      </x:c>
      <x:c r="D46" s="13" t="str">
        <x:v>E轮估值参考</x:v>
      </x:c>
      <x:c r="E46" s="13" t="str">
        <x:v>公开估值参考</x:v>
      </x:c>
      <x:c r="F46" s="13" t="str">
        <x:v>亿美元</x:v>
      </x:c>
      <x:c r="G46" s="45" t="n">
        <x:v>73</x:v>
      </x:c>
      <x:c r="H46" s="45" t="n">
        <x:v>138</x:v>
      </x:c>
      <x:c r="I46" s="46"/>
      <x:c r="J46" s="47" t="n">
        <x:v>1</x:v>
      </x:c>
      <x:c r="K46" s="51" t="n">
        <x:f>IF(ISBLANK(J46),NA(),IF(E46="人工指定倍率",IF(ISBLANK(I46),NA(),I46),IF(OR(ISBLANK(G46),ISBLANK(H46)),NA(),H46/G46))*J46)</x:f>
        <x:v>1.8904109589041096</x:v>
      </x:c>
      <x:c r="L46" s="52" t="n">
        <x:f>K46-1</x:f>
        <x:v>0.8904109589041096</x:v>
      </x:c>
      <x:c r="M46" s="53" t="n">
        <x:f>$B$2</x:f>
        <x:v>500</x:v>
      </x:c>
      <x:c r="N46" s="53" t="n">
        <x:f>M46*K46</x:f>
        <x:v>945.2054794520548</x:v>
      </x:c>
      <x:c r="O46" s="53" t="n">
        <x:f>N46-M46</x:f>
        <x:v>445.20547945205476</x:v>
      </x:c>
      <x:c r="P46" s="13" t="str">
        <x:v>2024-05-21 F轮（报道）</x:v>
      </x:c>
      <x:c r="Q46" s="13" t="str">
        <x:v>正向参考</x:v>
      </x:c>
      <x:c r="R46" s="13" t="str">
        <x:v>按2021年E轮73亿美元与2024年F轮138亿美元，估值比1.8904倍；未计稀释、优先权，不等于现金退出。</x:v>
      </x:c>
    </x:row>
    <x:row r="47" ht="66" customHeight="1">
      <x:c r="A47" s="9" t="str">
        <x:v>VC41</x:v>
      </x:c>
      <x:c r="B47" s="9" t="str">
        <x:v>无问芯穹</x:v>
      </x:c>
      <x:c r="C47" s="25" t="n">
        <x:v>2023</x:v>
      </x:c>
      <x:c r="D47" s="9" t="str">
        <x:v>天使阶段</x:v>
      </x:c>
      <x:c r="E47" s="9" t="str">
        <x:v>教学估值情景</x:v>
      </x:c>
      <x:c r="F47" s="9" t="str">
        <x:v>亿元人民币</x:v>
      </x:c>
      <x:c r="G47" s="45" t="n">
        <x:v>3</x:v>
      </x:c>
      <x:c r="H47" s="45" t="n">
        <x:v>9</x:v>
      </x:c>
      <x:c r="I47" s="46"/>
      <x:c r="J47" s="47" t="n">
        <x:v>1</x:v>
      </x:c>
      <x:c r="K47" s="48" t="n">
        <x:f>IF(ISBLANK(J47),NA(),IF(E47="人工指定倍率",IF(ISBLANK(I47),NA(),I47),IF(OR(ISBLANK(G47),ISBLANK(H47)),NA(),H47/G47))*J47)</x:f>
        <x:v>3</x:v>
      </x:c>
      <x:c r="L47" s="49" t="n">
        <x:f>K47-1</x:f>
        <x:v>2</x:v>
      </x:c>
      <x:c r="M47" s="50" t="n">
        <x:f>$B$2</x:f>
        <x:v>500</x:v>
      </x:c>
      <x:c r="N47" s="50" t="n">
        <x:f>M47*K47</x:f>
        <x:v>1500</x:v>
      </x:c>
      <x:c r="O47" s="50" t="n">
        <x:f>N47-M47</x:f>
        <x:v>1000</x:v>
      </x:c>
      <x:c r="P47" s="9" t="str">
        <x:v>2026-10-14教学终点</x:v>
      </x:c>
      <x:c r="Q47" s="9" t="str">
        <x:v>成长待定</x:v>
      </x:c>
      <x:c r="R47" s="9" t="str">
        <x:v>模拟异构适配平台取得重复企业使用，估值3倍；不把资源投入全部当作公司估值。</x:v>
      </x:c>
    </x:row>
    <x:row r="48" ht="66" customHeight="1">
      <x:c r="A48" s="13" t="str">
        <x:v>VC42</x:v>
      </x:c>
      <x:c r="B48" s="13" t="str">
        <x:v>硅基流动</x:v>
      </x:c>
      <x:c r="C48" s="26" t="n">
        <x:v>2024</x:v>
      </x:c>
      <x:c r="D48" s="13" t="str">
        <x:v>早期融资阶段</x:v>
      </x:c>
      <x:c r="E48" s="13" t="str">
        <x:v>教学估值情景</x:v>
      </x:c>
      <x:c r="F48" s="13" t="str">
        <x:v>亿元人民币</x:v>
      </x:c>
      <x:c r="G48" s="45" t="n">
        <x:v>2</x:v>
      </x:c>
      <x:c r="H48" s="45" t="n">
        <x:v>5</x:v>
      </x:c>
      <x:c r="I48" s="46"/>
      <x:c r="J48" s="47" t="n">
        <x:v>1</x:v>
      </x:c>
      <x:c r="K48" s="51" t="n">
        <x:f>IF(ISBLANK(J48),NA(),IF(E48="人工指定倍率",IF(ISBLANK(I48),NA(),I48),IF(OR(ISBLANK(G48),ISBLANK(H48)),NA(),H48/G48))*J48)</x:f>
        <x:v>2.5</x:v>
      </x:c>
      <x:c r="L48" s="52" t="n">
        <x:f>K48-1</x:f>
        <x:v>1.5</x:v>
      </x:c>
      <x:c r="M48" s="53" t="n">
        <x:f>$B$2</x:f>
        <x:v>500</x:v>
      </x:c>
      <x:c r="N48" s="53" t="n">
        <x:f>M48*K48</x:f>
        <x:v>1250</x:v>
      </x:c>
      <x:c r="O48" s="53" t="n">
        <x:f>N48-M48</x:f>
        <x:v>750</x:v>
      </x:c>
      <x:c r="P48" s="13" t="str">
        <x:v>2026-10-14教学终点</x:v>
      </x:c>
      <x:c r="Q48" s="13" t="str">
        <x:v>成长待定</x:v>
      </x:c>
      <x:c r="R48" s="13" t="str">
        <x:v>模拟推理服务获得持续调用，估值2.5倍，同时体现价格竞争压缩超额回报；为教学定价。</x:v>
      </x:c>
    </x:row>
    <x:row r="49" ht="66" customHeight="1">
      <x:c r="A49" s="9" t="str">
        <x:v>VC43</x:v>
      </x:c>
      <x:c r="B49" s="9" t="str">
        <x:v>光轮智能</x:v>
      </x:c>
      <x:c r="C49" s="25" t="n">
        <x:v>2023</x:v>
      </x:c>
      <x:c r="D49" s="9" t="str">
        <x:v>种子阶段</x:v>
      </x:c>
      <x:c r="E49" s="9" t="str">
        <x:v>成本持有情景</x:v>
      </x:c>
      <x:c r="F49" s="9" t="str">
        <x:v>估值指数</x:v>
      </x:c>
      <x:c r="G49" s="45" t="n">
        <x:v>1</x:v>
      </x:c>
      <x:c r="H49" s="45" t="n">
        <x:v>1</x:v>
      </x:c>
      <x:c r="I49" s="46"/>
      <x:c r="J49" s="47" t="n">
        <x:v>1</x:v>
      </x:c>
      <x:c r="K49" s="48" t="n">
        <x:f>IF(ISBLANK(J49),NA(),IF(E49="人工指定倍率",IF(ISBLANK(I49),NA(),I49),IF(OR(ISBLANK(G49),ISBLANK(H49)),NA(),H49/G49))*J49)</x:f>
        <x:v>1</x:v>
      </x:c>
      <x:c r="L49" s="49" t="n">
        <x:f>K49-1</x:f>
        <x:v>0</x:v>
      </x:c>
      <x:c r="M49" s="50" t="n">
        <x:f>$B$2</x:f>
        <x:v>500</x:v>
      </x:c>
      <x:c r="N49" s="50" t="n">
        <x:f>M49*K49</x:f>
        <x:v>500</x:v>
      </x:c>
      <x:c r="O49" s="50" t="n">
        <x:f>N49-M49</x:f>
        <x:v>0</x:v>
      </x:c>
      <x:c r="P49" s="9" t="str">
        <x:v>截至2026-10-14成本持有</x:v>
      </x:c>
      <x:c r="Q49" s="9" t="str">
        <x:v>成长待定</x:v>
      </x:c>
      <x:c r="R49" s="9" t="str">
        <x:v>真实估值与经确认收入均未建立可比终点，按成本持有1倍；不是否定订单或技术增长。</x:v>
      </x:c>
    </x:row>
    <x:row r="50" ht="66" customHeight="1">
      <x:c r="A50" s="13" t="str">
        <x:v>VC44</x:v>
      </x:c>
      <x:c r="B50" s="13" t="str">
        <x:v>本源量子</x:v>
      </x:c>
      <x:c r="C50" s="26" t="n">
        <x:v>2017</x:v>
      </x:c>
      <x:c r="D50" s="13" t="str">
        <x:v>早期融资阶段</x:v>
      </x:c>
      <x:c r="E50" s="13" t="str">
        <x:v>成本持有情景</x:v>
      </x:c>
      <x:c r="F50" s="13" t="str">
        <x:v>估值指数</x:v>
      </x:c>
      <x:c r="G50" s="45" t="n">
        <x:v>1</x:v>
      </x:c>
      <x:c r="H50" s="45" t="n">
        <x:v>1</x:v>
      </x:c>
      <x:c r="I50" s="46"/>
      <x:c r="J50" s="47" t="n">
        <x:v>1</x:v>
      </x:c>
      <x:c r="K50" s="51" t="n">
        <x:f>IF(ISBLANK(J50),NA(),IF(E50="人工指定倍率",IF(ISBLANK(I50),NA(),I50),IF(OR(ISBLANK(G50),ISBLANK(H50)),NA(),H50/G50))*J50)</x:f>
        <x:v>1</x:v>
      </x:c>
      <x:c r="L50" s="52" t="n">
        <x:f>K50-1</x:f>
        <x:v>0</x:v>
      </x:c>
      <x:c r="M50" s="53" t="n">
        <x:f>$B$2</x:f>
        <x:v>500</x:v>
      </x:c>
      <x:c r="N50" s="53" t="n">
        <x:f>M50*K50</x:f>
        <x:v>500</x:v>
      </x:c>
      <x:c r="O50" s="53" t="n">
        <x:f>N50-M50</x:f>
        <x:v>0</x:v>
      </x:c>
      <x:c r="P50" s="13" t="str">
        <x:v>截至2026-10-14成本持有</x:v>
      </x:c>
      <x:c r="Q50" s="13" t="str">
        <x:v>成长待定</x:v>
      </x:c>
      <x:c r="R50" s="13" t="str">
        <x:v>长产业周期且无同口径终点，按成本持有1倍教学结算；未预测量子技术成败。</x:v>
      </x:c>
    </x:row>
    <x:row r="51" ht="66" customHeight="1">
      <x:c r="A51" s="9" t="str">
        <x:v>VC45</x:v>
      </x:c>
      <x:c r="B51" s="9" t="str">
        <x:v>国仪量子</x:v>
      </x:c>
      <x:c r="C51" s="25" t="n">
        <x:v>2018</x:v>
      </x:c>
      <x:c r="D51" s="9" t="str">
        <x:v>早期融资阶段</x:v>
      </x:c>
      <x:c r="E51" s="9" t="str">
        <x:v>教学估值情景</x:v>
      </x:c>
      <x:c r="F51" s="9" t="str">
        <x:v>亿元人民币</x:v>
      </x:c>
      <x:c r="G51" s="45" t="n">
        <x:v>2</x:v>
      </x:c>
      <x:c r="H51" s="45" t="n">
        <x:v>12</x:v>
      </x:c>
      <x:c r="I51" s="46"/>
      <x:c r="J51" s="47" t="n">
        <x:v>1</x:v>
      </x:c>
      <x:c r="K51" s="48" t="n">
        <x:f>IF(ISBLANK(J51),NA(),IF(E51="人工指定倍率",IF(ISBLANK(I51),NA(),I51),IF(OR(ISBLANK(G51),ISBLANK(H51)),NA(),H51/G51))*J51)</x:f>
        <x:v>6</x:v>
      </x:c>
      <x:c r="L51" s="49" t="n">
        <x:f>K51-1</x:f>
        <x:v>5</x:v>
      </x:c>
      <x:c r="M51" s="50" t="n">
        <x:f>$B$2</x:f>
        <x:v>500</x:v>
      </x:c>
      <x:c r="N51" s="50" t="n">
        <x:f>M51*K51</x:f>
        <x:v>3000</x:v>
      </x:c>
      <x:c r="O51" s="50" t="n">
        <x:f>N51-M51</x:f>
        <x:v>2500</x:v>
      </x:c>
      <x:c r="P51" s="9" t="str">
        <x:v>2026-10-14教学终点</x:v>
      </x:c>
      <x:c r="Q51" s="9" t="str">
        <x:v>正向参考</x:v>
      </x:c>
      <x:c r="R51" s="9" t="str">
        <x:v>模拟精密测量仪器建立付费客户与产品线，估值6倍；不引用未核市值。</x:v>
      </x:c>
    </x:row>
    <x:row r="52" ht="66" customHeight="1">
      <x:c r="A52" s="13" t="str">
        <x:v>VC46</x:v>
      </x:c>
      <x:c r="B52" s="13" t="str">
        <x:v>强脑科技</x:v>
      </x:c>
      <x:c r="C52" s="26" t="n">
        <x:v>2015</x:v>
      </x:c>
      <x:c r="D52" s="13" t="str">
        <x:v>早期阶段</x:v>
      </x:c>
      <x:c r="E52" s="13" t="str">
        <x:v>成本持有情景</x:v>
      </x:c>
      <x:c r="F52" s="13" t="str">
        <x:v>估值指数</x:v>
      </x:c>
      <x:c r="G52" s="45" t="n">
        <x:v>1</x:v>
      </x:c>
      <x:c r="H52" s="45" t="n">
        <x:v>1</x:v>
      </x:c>
      <x:c r="I52" s="46"/>
      <x:c r="J52" s="47" t="n">
        <x:v>1</x:v>
      </x:c>
      <x:c r="K52" s="51" t="n">
        <x:f>IF(ISBLANK(J52),NA(),IF(E52="人工指定倍率",IF(ISBLANK(I52),NA(),I52),IF(OR(ISBLANK(G52),ISBLANK(H52)),NA(),H52/G52))*J52)</x:f>
        <x:v>1</x:v>
      </x:c>
      <x:c r="L52" s="52" t="n">
        <x:f>K52-1</x:f>
        <x:v>0</x:v>
      </x:c>
      <x:c r="M52" s="53" t="n">
        <x:f>$B$2</x:f>
        <x:v>500</x:v>
      </x:c>
      <x:c r="N52" s="53" t="n">
        <x:f>M52*K52</x:f>
        <x:v>500</x:v>
      </x:c>
      <x:c r="O52" s="53" t="n">
        <x:f>N52-M52</x:f>
        <x:v>0</x:v>
      </x:c>
      <x:c r="P52" s="13" t="str">
        <x:v>截至2026-10-14成本持有</x:v>
      </x:c>
      <x:c r="Q52" s="13" t="str">
        <x:v>成长待定</x:v>
      </x:c>
      <x:c r="R52" s="13" t="str">
        <x:v>产品类别与退出终点不可直接比较，教学按成本持有1倍；并不判断公司停滞。</x:v>
      </x:c>
    </x:row>
    <x:row r="53" ht="66" customHeight="1">
      <x:c r="A53" s="9" t="str">
        <x:v>VC47</x:v>
      </x:c>
      <x:c r="B53" s="9" t="str">
        <x:v>博睿康</x:v>
      </x:c>
      <x:c r="C53" s="25" t="n">
        <x:v>2015</x:v>
      </x:c>
      <x:c r="D53" s="9" t="str">
        <x:v>早期融资阶段</x:v>
      </x:c>
      <x:c r="E53" s="9" t="str">
        <x:v>教学估值情景</x:v>
      </x:c>
      <x:c r="F53" s="9" t="str">
        <x:v>亿元人民币</x:v>
      </x:c>
      <x:c r="G53" s="45" t="n">
        <x:v>1</x:v>
      </x:c>
      <x:c r="H53" s="45" t="n">
        <x:v>5</x:v>
      </x:c>
      <x:c r="I53" s="46"/>
      <x:c r="J53" s="47" t="n">
        <x:v>1</x:v>
      </x:c>
      <x:c r="K53" s="48" t="n">
        <x:f>IF(ISBLANK(J53),NA(),IF(E53="人工指定倍率",IF(ISBLANK(I53),NA(),I53),IF(OR(ISBLANK(G53),ISBLANK(H53)),NA(),H53/G53))*J53)</x:f>
        <x:v>5</x:v>
      </x:c>
      <x:c r="L53" s="49" t="n">
        <x:f>K53-1</x:f>
        <x:v>4</x:v>
      </x:c>
      <x:c r="M53" s="50" t="n">
        <x:f>$B$2</x:f>
        <x:v>500</x:v>
      </x:c>
      <x:c r="N53" s="50" t="n">
        <x:f>M53*K53</x:f>
        <x:v>2500</x:v>
      </x:c>
      <x:c r="O53" s="50" t="n">
        <x:f>N53-M53</x:f>
        <x:v>2000</x:v>
      </x:c>
      <x:c r="P53" s="9" t="str">
        <x:v>2026-10-14教学终点</x:v>
      </x:c>
      <x:c r="Q53" s="9" t="str">
        <x:v>正向参考</x:v>
      </x:c>
      <x:c r="R53" s="9" t="str">
        <x:v>模拟科研设备建立重复采购并拓展临床平台，估值5倍；为教学估值，未假定全部产品获批。</x:v>
      </x:c>
    </x:row>
    <x:row r="54" ht="66" customHeight="1">
      <x:c r="A54" s="13" t="str">
        <x:v>VC48</x:v>
      </x:c>
      <x:c r="B54" s="13" t="str">
        <x:v>蓝箭航天</x:v>
      </x:c>
      <x:c r="C54" s="26" t="n">
        <x:v>2016</x:v>
      </x:c>
      <x:c r="D54" s="13" t="str">
        <x:v>天使阶段</x:v>
      </x:c>
      <x:c r="E54" s="13" t="str">
        <x:v>教学估值情景</x:v>
      </x:c>
      <x:c r="F54" s="13" t="str">
        <x:v>亿元人民币</x:v>
      </x:c>
      <x:c r="G54" s="45" t="n">
        <x:v>2</x:v>
      </x:c>
      <x:c r="H54" s="45" t="n">
        <x:v>16</x:v>
      </x:c>
      <x:c r="I54" s="46"/>
      <x:c r="J54" s="47" t="n">
        <x:v>1</x:v>
      </x:c>
      <x:c r="K54" s="51" t="n">
        <x:f>IF(ISBLANK(J54),NA(),IF(E54="人工指定倍率",IF(ISBLANK(I54),NA(),I54),IF(OR(ISBLANK(G54),ISBLANK(H54)),NA(),H54/G54))*J54)</x:f>
        <x:v>8</x:v>
      </x:c>
      <x:c r="L54" s="52" t="n">
        <x:f>K54-1</x:f>
        <x:v>7</x:v>
      </x:c>
      <x:c r="M54" s="53" t="n">
        <x:f>$B$2</x:f>
        <x:v>500</x:v>
      </x:c>
      <x:c r="N54" s="53" t="n">
        <x:f>M54*K54</x:f>
        <x:v>4000</x:v>
      </x:c>
      <x:c r="O54" s="53" t="n">
        <x:f>N54-M54</x:f>
        <x:v>3500</x:v>
      </x:c>
      <x:c r="P54" s="13" t="str">
        <x:v>2026-10-14教学终点</x:v>
      </x:c>
      <x:c r="Q54" s="13" t="str">
        <x:v>成长待定</x:v>
      </x:c>
      <x:c r="R54" s="13" t="str">
        <x:v>模拟发射能力验证后获得更多服务机会，估值8倍；成本、复用和退出仍未假定成熟。</x:v>
      </x:c>
    </x:row>
    <x:row r="55" ht="66" customHeight="1">
      <x:c r="A55" s="9" t="str">
        <x:v>VC49</x:v>
      </x:c>
      <x:c r="B55" s="9" t="str">
        <x:v>银河航天</x:v>
      </x:c>
      <x:c r="C55" s="25" t="n">
        <x:v>2018</x:v>
      </x:c>
      <x:c r="D55" s="9" t="str">
        <x:v>天使阶段</x:v>
      </x:c>
      <x:c r="E55" s="9" t="str">
        <x:v>成本持有情景</x:v>
      </x:c>
      <x:c r="F55" s="9" t="str">
        <x:v>估值指数</x:v>
      </x:c>
      <x:c r="G55" s="45" t="n">
        <x:v>1</x:v>
      </x:c>
      <x:c r="H55" s="45" t="n">
        <x:v>1</x:v>
      </x:c>
      <x:c r="I55" s="46"/>
      <x:c r="J55" s="47" t="n">
        <x:v>1</x:v>
      </x:c>
      <x:c r="K55" s="48" t="n">
        <x:f>IF(ISBLANK(J55),NA(),IF(E55="人工指定倍率",IF(ISBLANK(I55),NA(),I55),IF(OR(ISBLANK(G55),ISBLANK(H55)),NA(),H55/G55))*J55)</x:f>
        <x:v>1</x:v>
      </x:c>
      <x:c r="L55" s="49" t="n">
        <x:f>K55-1</x:f>
        <x:v>0</x:v>
      </x:c>
      <x:c r="M55" s="50" t="n">
        <x:f>$B$2</x:f>
        <x:v>500</x:v>
      </x:c>
      <x:c r="N55" s="50" t="n">
        <x:f>M55*K55</x:f>
        <x:v>500</x:v>
      </x:c>
      <x:c r="O55" s="50" t="n">
        <x:f>N55-M55</x:f>
        <x:v>0</x:v>
      </x:c>
      <x:c r="P55" s="9" t="str">
        <x:v>截至2026-10-14成本持有</x:v>
      </x:c>
      <x:c r="Q55" s="9" t="str">
        <x:v>成长待定</x:v>
      </x:c>
      <x:c r="R55" s="9" t="str">
        <x:v>缺同口径进入估值与退出终点，按成本持有1倍教学结算；不否定卫星研制与交付进展。</x:v>
      </x:c>
    </x:row>
    <x:row r="56" ht="66" customHeight="1">
      <x:c r="A56" s="13" t="str">
        <x:v>VC50</x:v>
      </x:c>
      <x:c r="B56" s="13" t="str">
        <x:v>维珍轨道（Virgin Orbit）</x:v>
      </x:c>
      <x:c r="C56" s="26" t="n">
        <x:v>2021</x:v>
      </x:c>
      <x:c r="D56" s="13" t="str">
        <x:v>SPAC上市交易阶段</x:v>
      </x:c>
      <x:c r="E56" s="13" t="str">
        <x:v>损失回收情景</x:v>
      </x:c>
      <x:c r="F56" s="13" t="str">
        <x:v>估值指数</x:v>
      </x:c>
      <x:c r="G56" s="45" t="n">
        <x:v>1</x:v>
      </x:c>
      <x:c r="H56" s="45" t="n">
        <x:v>0</x:v>
      </x:c>
      <x:c r="I56" s="46"/>
      <x:c r="J56" s="47" t="n">
        <x:v>1</x:v>
      </x:c>
      <x:c r="K56" s="51" t="n">
        <x:f>IF(ISBLANK(J56),NA(),IF(E56="人工指定倍率",IF(ISBLANK(I56),NA(),I56),IF(OR(ISBLANK(G56),ISBLANK(H56)),NA(),H56/G56))*J56)</x:f>
        <x:v>0</x:v>
      </x:c>
      <x:c r="L56" s="52" t="n">
        <x:f>K56-1</x:f>
        <x:v>-1</x:v>
      </x:c>
      <x:c r="M56" s="53" t="n">
        <x:f>$B$2</x:f>
        <x:v>500</x:v>
      </x:c>
      <x:c r="N56" s="53" t="n">
        <x:f>M56*K56</x:f>
        <x:v>0</x:v>
      </x:c>
      <x:c r="O56" s="53" t="n">
        <x:f>N56-M56</x:f>
        <x:v>-500</x:v>
      </x:c>
      <x:c r="P56" s="13" t="str">
        <x:v>公开程序节点／教学回收</x:v>
      </x:c>
      <x:c r="Q56" s="13" t="str">
        <x:v>重大挫折</x:v>
      </x:c>
      <x:c r="R56" s="13" t="str">
        <x:v>破产保护、资产拍卖后停运的普通股零回收教学情景；实际分配未核，不用资产卖价计算股权收益。</x:v>
      </x:c>
    </x:row>
    <x:row r="57" ht="24" customHeight="1">
      <x:c r="A57" s="3"/>
      <x:c r="B57" s="3"/>
      <x:c r="C57" s="3"/>
      <x:c r="D57" s="3"/>
      <x:c r="E57" s="3"/>
      <x:c r="F57" s="3"/>
      <x:c r="G57" s="3"/>
      <x:c r="H57" s="3"/>
      <x:c r="I57" s="3"/>
      <x:c r="J57" s="3"/>
      <x:c r="K57" s="3"/>
      <x:c r="L57" s="3"/>
      <x:c r="M57" s="3"/>
      <x:c r="N57" s="3"/>
      <x:c r="O57" s="3"/>
      <x:c r="P57" s="3"/>
      <x:c r="Q57" s="3"/>
      <x:c r="R57" s="3"/>
    </x:row>
    <x:row r="58" ht="24" customHeight="1">
      <x:c r="A58" s="3"/>
      <x:c r="B58" s="3"/>
      <x:c r="C58" s="3"/>
      <x:c r="D58" s="3"/>
      <x:c r="E58" s="3"/>
      <x:c r="F58" s="3"/>
      <x:c r="G58" s="3"/>
      <x:c r="H58" s="3"/>
      <x:c r="I58" s="3"/>
      <x:c r="J58" s="3"/>
      <x:c r="K58" s="3"/>
      <x:c r="L58" s="3"/>
      <x:c r="M58" s="3"/>
      <x:c r="N58" s="3"/>
      <x:c r="O58" s="3"/>
      <x:c r="P58" s="3"/>
      <x:c r="Q58" s="3"/>
      <x:c r="R58" s="3"/>
    </x:row>
    <x:row r="59" ht="24" customHeight="1">
      <x:c r="A59" s="3" t="str">
        <x:v>游戏增值题数</x:v>
      </x:c>
      <x:c r="B59" s="3" t="n">
        <x:f>COUNTIF(K7:K56,"&gt;1")</x:f>
        <x:v>36</x:v>
      </x:c>
      <x:c r="C59" s="3" t="str">
        <x:v>成本持有题数</x:v>
      </x:c>
      <x:c r="D59" s="3" t="n">
        <x:f>COUNTIF(K7:K56,"=1")</x:f>
        <x:v>6</x:v>
      </x:c>
      <x:c r="E59" s="3" t="str">
        <x:v>游戏损失题数</x:v>
      </x:c>
      <x:c r="F59" s="3" t="n">
        <x:f>COUNTIF(K7:K56,"&lt;1")</x:f>
        <x:v>8</x:v>
      </x:c>
      <x:c r="G59" s="3" t="str">
        <x:v>等额投入总回收倍数</x:v>
      </x:c>
      <x:c r="H59" s="54" t="n">
        <x:f>SUM(N7:N56)/SUM(M7:M56)</x:f>
        <x:v>66.71814155251141</x:v>
      </x:c>
      <x:c r="I59" s="3"/>
      <x:c r="J59" s="3"/>
      <x:c r="K59" s="3"/>
      <x:c r="L59" s="3"/>
      <x:c r="M59" s="3"/>
      <x:c r="N59" s="3"/>
      <x:c r="O59" s="3"/>
      <x:c r="P59" s="3"/>
      <x:c r="Q59" s="3"/>
      <x:c r="R59" s="3"/>
    </x:row>
    <x:row r="60" ht="38" customHeight="1">
      <x:c r="A60" s="16" t="str">
        <x:v>以上数量是本版游戏参数下的结算分布，不能当作现实VC成功率。1035倍、625倍等长尾人工基准对等额组合有较大影响，本版不压缩这些倍率。</x:v>
      </x:c>
      <x:c r="B60" s="16"/>
      <x:c r="C60" s="16"/>
      <x:c r="D60" s="16"/>
      <x:c r="E60" s="16"/>
      <x:c r="F60" s="16"/>
      <x:c r="G60" s="16"/>
      <x:c r="H60" s="16"/>
      <x:c r="I60" s="16"/>
      <x:c r="J60" s="16"/>
      <x:c r="K60" s="16"/>
      <x:c r="L60" s="16"/>
      <x:c r="M60" s="3"/>
      <x:c r="N60" s="3"/>
      <x:c r="O60" s="3"/>
      <x:c r="P60" s="3"/>
      <x:c r="Q60" s="3"/>
      <x:c r="R60" s="3"/>
    </x:row>
    <x:row r="61" ht="38" customHeight="1">
      <x:c r="A61" s="16"/>
      <x:c r="B61" s="16"/>
      <x:c r="C61" s="16"/>
      <x:c r="D61" s="16"/>
      <x:c r="E61" s="16"/>
      <x:c r="F61" s="16"/>
      <x:c r="G61" s="16"/>
      <x:c r="H61" s="16"/>
      <x:c r="I61" s="16"/>
      <x:c r="J61" s="16"/>
      <x:c r="K61" s="16"/>
      <x:c r="L61" s="16"/>
      <x:c r="M61" s="3"/>
      <x:c r="N61" s="3"/>
      <x:c r="O61" s="3"/>
      <x:c r="P61" s="3"/>
      <x:c r="Q61" s="3"/>
      <x:c r="R61" s="3"/>
    </x:row>
  </x:sheetData>
  <x:mergeCells>
    <x:mergeCell ref="A1:L1"/>
    <x:mergeCell ref="D2:L2"/>
    <x:mergeCell ref="A3:L3"/>
    <x:mergeCell ref="A4:L4"/>
    <x:mergeCell ref="A60:L61"/>
  </x:mergeCells>
  <x:conditionalFormatting sqref="L7:L56">
    <x:cfRule type="cellIs" dxfId="0" priority="1" operator="lessThan">
      <x:formula>0</x:formula>
    </x:cfRule>
    <x:cfRule type="cellIs" dxfId="1" priority="2" operator="greaterThan">
      <x:formula>0</x:formula>
    </x:cfRule>
  </x:conditionalFormatting>
  <x:dataValidations count="2">
    <x:dataValidation type="decimal" operator="between" sqref="J7:J56">
      <x:formula1>0</x:formula1>
      <x:formula2>1</x:formula2>
    </x:dataValidation>
    <x:dataValidation type="decimal" operator="greaterThan" sqref="B2">
      <x:formula1>0</x:formula1>
    </x:dataValidation>
  </x:dataValidations>
  <x:pageMargins left="0.7" right="0.7" top="0.75" bottom="0.75" header="0.3" footer="0.3"/>
  <x:tableParts count="1">
    <x:tablePart xmlns:r="http://schemas.openxmlformats.org/officeDocument/2006/relationships" r:id="Rbbf2aa7f8f134db9"/>
  </x:tableParts>
</x:worksheet>
</file>

<file path=xl/worksheets/sheet3.xml><?xml version="1.0" encoding="utf-8"?>
<x:worksheet xmlns:x="http://schemas.openxmlformats.org/spreadsheetml/2006/main">
  <x:sheetPr>
    <x:tabColor rgb="FF788A9C"/>
  </x:sheetPr>
  <x:sheetViews>
    <x:sheetView showGridLines="0" workbookViewId="0">
      <x:pane xSplit="2" ySplit="7" topLeftCell="C8" activePane="bottomRight" state="frozen"/>
    </x:sheetView>
  </x:sheetViews>
  <x:sheetFormatPr defaultRowHeight="15"/>
  <x:cols>
    <x:col min="1" max="1" width="10" hidden="0" customWidth="1"/>
    <x:col min="2" max="2" width="31" hidden="0" customWidth="1"/>
    <x:col min="3" max="3" width="12" hidden="0" customWidth="1"/>
    <x:col min="4" max="4" width="52" hidden="0" customWidth="1"/>
    <x:col min="5" max="5" width="65" hidden="0" customWidth="1"/>
    <x:col min="6" max="6" width="35" hidden="0" customWidth="1"/>
    <x:col min="7" max="7" width="64" hidden="0" customWidth="1"/>
    <x:col min="8" max="8" width="66" hidden="0" customWidth="1"/>
    <x:col min="9" max="9" width="66" hidden="0" customWidth="1"/>
    <x:col min="10" max="10" width="94" hidden="0" customWidth="1"/>
    <x:col min="11" max="11" width="67" hidden="0" customWidth="1"/>
  </x:cols>
  <x:sheetData>
    <x:row r="1" ht="30" customHeight="1">
      <x:c r="A1" s="17" t="str">
        <x:v>具身VC投资模拟器 v3 资料与口径</x:v>
      </x:c>
      <x:c r="B1" s="17"/>
      <x:c r="C1" s="17"/>
      <x:c r="D1" s="17"/>
      <x:c r="E1" s="17"/>
      <x:c r="F1" s="17"/>
      <x:c r="G1" s="17"/>
      <x:c r="H1" s="17"/>
      <x:c r="I1" s="17"/>
      <x:c r="J1" s="17"/>
      <x:c r="K1" s="17"/>
    </x:row>
    <x:row r="2" ht="34" customHeight="1">
      <x:c r="A2" s="16" t="str">
        <x:v>正式50家公司。主表保留v2的16列；人工7例的代称、定位、团队、技术、商业亮点与风险原文非空内容保留，原型故事补齐。v2不覆盖。</x:v>
      </x:c>
      <x:c r="B2" s="16"/>
      <x:c r="C2" s="16"/>
      <x:c r="D2" s="16"/>
      <x:c r="E2" s="16"/>
      <x:c r="F2" s="16"/>
      <x:c r="G2" s="16"/>
      <x:c r="H2" s="16"/>
      <x:c r="I2" s="16"/>
      <x:c r="J2" s="16"/>
      <x:c r="K2" s="16"/>
    </x:row>
    <x:row r="3" ht="34" customHeight="1">
      <x:c r="A3" s="16" t="str">
        <x:v>玩家字段为主表B、C、E、F、H、J、L、M，并结合本页进入阶段说明。G、I、K是编辑用真实原型及历史过程；N、O、P和本页复盘不应在投资前展示。</x:v>
      </x:c>
      <x:c r="B3" s="16"/>
      <x:c r="C3" s="16"/>
      <x:c r="D3" s="16"/>
      <x:c r="E3" s="16"/>
      <x:c r="F3" s="16"/>
      <x:c r="G3" s="16"/>
      <x:c r="H3" s="16"/>
      <x:c r="I3" s="16"/>
      <x:c r="J3" s="16"/>
      <x:c r="K3" s="16"/>
    </x:row>
    <x:row r="4" ht="42" customHeight="1">
      <x:c r="A4" s="16" t="str">
        <x:v>首轮融资年份列沿用模板：人工以原稿为准；其他行填游戏进入年。首轮未核、晚期进入、创办期虚拟交易在首轮信息与本页逐项说明。累计融资未核时只列可识别节点，不以融资额、订单或研发预算反推估值。</x:v>
      </x:c>
      <x:c r="B4" s="16"/>
      <x:c r="C4" s="16"/>
      <x:c r="D4" s="16"/>
      <x:c r="E4" s="16"/>
      <x:c r="F4" s="16"/>
      <x:c r="G4" s="16"/>
      <x:c r="H4" s="16"/>
      <x:c r="I4" s="16"/>
      <x:c r="J4" s="16"/>
      <x:c r="K4" s="16"/>
    </x:row>
    <x:row r="5" ht="34" customHeight="1">
      <x:c r="A5" s="16" t="str">
        <x:v>资料整理日2026-10-14；不同来源截止日不同。30个教学估值、6个成本持有、6个损失回收、7个人工基准和1个公开估值参考。所有未知估值／清偿明确为假设，未宣称逐家公司完整金融尽调。</x:v>
      </x:c>
      <x:c r="B5" s="16"/>
      <x:c r="C5" s="16"/>
      <x:c r="D5" s="16"/>
      <x:c r="E5" s="16"/>
      <x:c r="F5" s="16"/>
      <x:c r="G5" s="16"/>
      <x:c r="H5" s="16"/>
      <x:c r="I5" s="16"/>
      <x:c r="J5" s="16"/>
      <x:c r="K5" s="16"/>
    </x:row>
    <x:row r="6" ht="24" customHeight="1">
      <x:c r="A6" s="3"/>
      <x:c r="B6" s="3"/>
      <x:c r="C6" s="3"/>
      <x:c r="D6" s="3"/>
      <x:c r="E6" s="3"/>
      <x:c r="F6" s="3"/>
      <x:c r="G6" s="3"/>
      <x:c r="H6" s="3"/>
      <x:c r="I6" s="3"/>
      <x:c r="J6" s="3"/>
      <x:c r="K6" s="3"/>
    </x:row>
    <x:row r="7" ht="42" customHeight="1">
      <x:c r="A7" s="7" t="str">
        <x:v>案例ID</x:v>
      </x:c>
      <x:c r="B7" s="7" t="str">
        <x:v>项目原型／法律主体</x:v>
      </x:c>
      <x:c r="C7" s="7" t="str">
        <x:v>v2参考行</x:v>
      </x:c>
      <x:c r="D7" s="7" t="str">
        <x:v>卡片进入时点</x:v>
      </x:c>
      <x:c r="E7" s="7" t="str">
        <x:v>复盘商业故事</x:v>
      </x:c>
      <x:c r="F7" s="7" t="str">
        <x:v>走势与阶段判断</x:v>
      </x:c>
      <x:c r="G7" s="7" t="str">
        <x:v>回报事实／假设边界</x:v>
      </x:c>
      <x:c r="H7" s="7" t="str">
        <x:v>卡片与历史信息边界</x:v>
      </x:c>
      <x:c r="I7" s="7" t="str">
        <x:v>资料范围与核验状态</x:v>
      </x:c>
      <x:c r="J7" s="7" t="str">
        <x:v>来源链接</x:v>
      </x:c>
      <x:c r="K7" s="7" t="str">
        <x:v>v3修订说明</x:v>
      </x:c>
    </x:row>
    <x:row r="8" ht="100" customHeight="1">
      <x:c r="A8" s="9" t="str">
        <x:v>VC01</x:v>
      </x:c>
      <x:c r="B8" s="9" t="str">
        <x:v>宇树科技</x:v>
      </x:c>
      <x:c r="C8" s="9" t="n">
        <x:v>29</x:v>
      </x:c>
      <x:c r="D8" s="9" t="str">
        <x:v>2016年，早期股权投资。详见主表首轮信息，游戏进入年不必等于公司成立或首轮真实年份。</x:v>
      </x:c>
      <x:c r="E8" s="9" t="str">
        <x:v>产品工程和降本带来跨圈层认知。1035倍只作为人工指定结算基准，未验证为现金退出。</x:v>
      </x:c>
      <x:c r="F8" s="9" t="str">
        <x:v>低开高走；正向参考。标签不是未来成功概率或真实VC盈利率。</x:v>
      </x:c>
      <x:c r="G8" s="9" t="str">
        <x:v>保留用户指定1035倍。媒体原文、持股稀释和退出方式待补证，不能用200万元与累计融资20亿元计算。</x:v>
      </x:c>
      <x:c r="H8" s="9" t="str">
        <x:v>人工文案沿用，部分产品/行业表述的同期性未逐项核验；以用户案例标准保留，后续事件只用于复盘。</x:v>
      </x:c>
      <x:c r="I8" s="9" t="str">
        <x:v>用户v2《题库底稿》第29行
本项目历史题库资料（历史摘要，非本轮全部原文核验）
本地横纵研究报告：2026-05-17-宇树科技-unitree-横纵分析报告.md（引用新闻未全部重访）</x:v>
      </x:c>
      <x:c r="J8" s="55" t="str">
        <x:v>https://www.unitree.com/about/
https://www.unitree.com/operate/g1/
https://finance.sina.com.cn/wm/2025-06-23/doc-infazvxi7392752.shtml
https://pdf.dfcfw.com/pdf/H2_AN202603201820669962_1.pdf
https://static.sse.com.cn/stock/disclosure/announcement/c/202603/002178_20260320_BLK4.pdf
https://www.nbd.com.cn/articles/2026-03-20/4301964.html</x:v>
      </x:c>
      <x:c r="K8" s="9" t="str">
        <x:v>保留人工B、E、H、J、L、M原文与原倍率；补真实G、I、K，澄清融资和结算口径。200万元和20亿元是融资录入，不用于解释1035倍。</x:v>
      </x:c>
    </x:row>
    <x:row r="9" ht="100" customHeight="1">
      <x:c r="A9" s="13" t="str">
        <x:v>VC02</x:v>
      </x:c>
      <x:c r="B9" s="13" t="str">
        <x:v>智元机器人</x:v>
      </x:c>
      <x:c r="C9" s="13" t="n">
        <x:v>30</x:v>
      </x:c>
      <x:c r="D9" s="13" t="str">
        <x:v>2023年，种子／天使阶段。详见主表首轮信息，游戏进入年不必等于公司成立或首轮真实年份。</x:v>
      </x:c>
      <x:c r="E9" s="13" t="str">
        <x:v>成长待定。主办方关联项目按同类信息量处理，6倍为教学估值情景，不暗示已兑现收益。</x:v>
      </x:c>
      <x:c r="F9" s="13" t="str">
        <x:v>高开高走；成长待定。标签不是未来成功概率或真实VC盈利率。</x:v>
      </x:c>
      <x:c r="G9" s="13" t="str">
        <x:v>模拟全栈平台在多个场景形成阶段交付，估值6倍；进入与终点均为教学参数。</x:v>
      </x:c>
      <x:c r="H9" s="13" t="str">
        <x:v>卡片按所选进入阶段描述能力、客户或计划；后续融资、上市、经营挫折和新产品只写原型故事与复盘。未核月份不制造精确快照。</x:v>
      </x:c>
      <x:c r="I9" s="13" t="str">
        <x:v>用户v2《题库底稿》第30行
本项目历史题库资料（历史摘要，非本轮全部原文核验）</x:v>
      </x:c>
      <x:c r="J9" s="56" t="str">
        <x:v>https://www.nbd.com.cn/articles/2023-12-18/3168433.html
https://www.robot-china.com/news/202312/19/86641.html
https://m.cls.cn/detail/1442587</x:v>
      </x:c>
      <x:c r="K9" s="13" t="str">
        <x:v>补齐原型G、I、K和游戏E、H、J、L、M；使用中性代称，回报输入可追溯至假设。</x:v>
      </x:c>
    </x:row>
    <x:row r="10" ht="100" customHeight="1">
      <x:c r="A10" s="9" t="str">
        <x:v>VC03</x:v>
      </x:c>
      <x:c r="B10" s="9" t="str">
        <x:v>星动纪元</x:v>
      </x:c>
      <x:c r="C10" s="9" t="n">
        <x:v>31</x:v>
      </x:c>
      <x:c r="D10" s="9" t="str">
        <x:v>2023年，种子阶段。详见主表首轮信息，游戏进入年不必等于公司成立或首轮真实年份。</x:v>
      </x:c>
      <x:c r="E10" s="9" t="str">
        <x:v>成长待定。运动能力与生产连续性分开评价，未核实退出。</x:v>
      </x:c>
      <x:c r="F10" s="9" t="str">
        <x:v>高开高走；成长待定。标签不是未来成功概率或真实VC盈利率。</x:v>
      </x:c>
      <x:c r="G10" s="9" t="str">
        <x:v>模拟运动控制平台与产业试点推动下一阶段定价，估值8倍；并非真实已披露估值。</x:v>
      </x:c>
      <x:c r="H10" s="9" t="str">
        <x:v>卡片按所选进入阶段描述能力、客户或计划；后续融资、上市、经营挫折和新产品只写原型故事与复盘。未核月份不制造精确快照。</x:v>
      </x:c>
      <x:c r="I10" s="9" t="str">
        <x:v>用户v2《题库底稿》第31行
本项目历史题库资料（历史摘要，非本轮全部原文核验）
本地横纵研究报告：2026-05-17-星动纪元-robotera-横纵分析报告.md（引用新闻未全部重访）</x:v>
      </x:c>
      <x:c r="J10" s="55" t="str">
        <x:v>https://www.robotera.com/
https://www.robotera.com/about.html
https://www.worldrobotconference.com/expo/company/438.html
https://m.pedaily.cn/news/528352
https://finance.sina.com.cn/tech/roll/2024-10-16/doc-incstaqx3701104.shtml
https://companies.caixin.com/m/2025-07-07/102338941.html</x:v>
      </x:c>
      <x:c r="K10" s="9" t="str">
        <x:v>补齐原型G、I、K和游戏E、H、J、L、M；使用中性代称，回报输入可追溯至假设。</x:v>
      </x:c>
    </x:row>
    <x:row r="11" ht="100" customHeight="1">
      <x:c r="A11" s="13" t="str">
        <x:v>VC04</x:v>
      </x:c>
      <x:c r="B11" s="13" t="str">
        <x:v>千寻智能</x:v>
      </x:c>
      <x:c r="C11" s="13" t="n">
        <x:v>32</x:v>
      </x:c>
      <x:c r="D11" s="13" t="str">
        <x:v>2024年，种子／天使阶段。详见主表首轮信息，游戏进入年不必等于公司成立或首轮真实年份。</x:v>
      </x:c>
      <x:c r="E11" s="13" t="str">
        <x:v>成长待定。核心复盘是跨工位复用能否覆盖数据与交付成本。</x:v>
      </x:c>
      <x:c r="F11" s="13" t="str">
        <x:v>高开高走；成长待定。标签不是未来成功概率或真实VC盈利率。</x:v>
      </x:c>
      <x:c r="G11" s="13" t="str">
        <x:v>模拟操作模型进入更多试点后估值8倍；两个估值均为教学参数，融资金额不参与计算。</x:v>
      </x:c>
      <x:c r="H11" s="13" t="str">
        <x:v>卡片按所选进入阶段描述能力、客户或计划；后续融资、上市、经营挫折和新产品只写原型故事与复盘。未核月份不制造精确快照。</x:v>
      </x:c>
      <x:c r="I11" s="13" t="str">
        <x:v>用户v2《题库底稿》第32行
本项目历史题库资料（历史摘要，非本轮全部原文核验）
本地横纵研究报告：2026-05-17-千寻智能-spirit-ai-横纵分析报告.md（引用新闻未全部重访）</x:v>
      </x:c>
      <x:c r="J11" s="56" t="str">
        <x:v>https://finance.sina.com.cn/tech/roll/2024-08-12/doc-incikkxf9255741.shtml
https://www.spirit-ai.com/about
https://spirit-ai.com/product
https://www.stcn.com/article/detail/1284789.html
https://cloud.baidu.com/customer/case/spirit-ai.html
https://www.zhipin.com/companys/d69e50751dabd49f03dz2ty9EFU~.html</x:v>
      </x:c>
      <x:c r="K11" s="13" t="str">
        <x:v>补齐原型G、I、K和游戏E、H、J、L、M；使用中性代称，回报输入可追溯至假设。</x:v>
      </x:c>
    </x:row>
    <x:row r="12" ht="100" customHeight="1">
      <x:c r="A12" s="9" t="str">
        <x:v>VC05</x:v>
      </x:c>
      <x:c r="B12" s="9" t="str">
        <x:v>优必选</x:v>
      </x:c>
      <x:c r="C12" s="9" t="n">
        <x:v>33</x:v>
      </x:c>
      <x:c r="D12" s="9" t="str">
        <x:v>2013年，早期外部融资阶段。详见主表首轮信息，游戏进入年不必等于公司成立或首轮真实年份。</x:v>
      </x:c>
      <x:c r="E12" s="9" t="str">
        <x:v>高开待定。产品与上市提供阶段验证，未给每轮股东都获利的结论。</x:v>
      </x:c>
      <x:c r="F12" s="9" t="str">
        <x:v>高开待定；成长待定。标签不是未来成功概率或真实VC盈利率。</x:v>
      </x:c>
      <x:c r="G12" s="9" t="str">
        <x:v>模拟早期关节和产品积累带来6倍估值，同时保留长期研发及盈利压力；不使用现时股价。</x:v>
      </x:c>
      <x:c r="H12" s="9" t="str">
        <x:v>卡片按所选进入阶段描述能力、客户或计划；后续融资、上市、经营挫折和新产品只写原型故事与复盘。未核月份不制造精确快照。</x:v>
      </x:c>
      <x:c r="I12" s="9" t="str">
        <x:v>用户v2《题库底稿》第33行
2026-10-14读取公司官网／页面；产品页面不作为估值证据</x:v>
      </x:c>
      <x:c r="J12" s="55" t="str">
        <x:v>https://www.ubtrobot.com/</x:v>
      </x:c>
      <x:c r="K12" s="9" t="str">
        <x:v>补齐原型G、I、K和游戏E、H、J、L、M；使用中性代称，回报输入可追溯至假设。</x:v>
      </x:c>
    </x:row>
    <x:row r="13" ht="100" customHeight="1">
      <x:c r="A13" s="13" t="str">
        <x:v>VC06</x:v>
      </x:c>
      <x:c r="B13" s="13" t="str">
        <x:v>极佳视界</x:v>
      </x:c>
      <x:c r="C13" s="13" t="n">
        <x:v>15</x:v>
      </x:c>
      <x:c r="D13" s="13" t="str">
        <x:v>2024年，天使阶段。详见主表首轮信息，游戏进入年不必等于公司成立或首轮真实年份。</x:v>
      </x:c>
      <x:c r="E13" s="13" t="str">
        <x:v>成长待定。视频预测到真机决策的效果是核心商业假设。</x:v>
      </x:c>
      <x:c r="F13" s="13" t="str">
        <x:v>高开高走；成长待定。标签不是未来成功概率或真实VC盈利率。</x:v>
      </x:c>
      <x:c r="G13" s="13" t="str">
        <x:v>模拟世界模型获得合作验证后6倍估值；没有用媒体百亿估值作为终点。</x:v>
      </x:c>
      <x:c r="H13" s="13" t="str">
        <x:v>卡片按所选进入阶段描述能力、客户或计划；后续融资、上市、经营挫折和新产品只写原型故事与复盘。未核月份不制造精确快照。</x:v>
      </x:c>
      <x:c r="I13" s="13" t="str">
        <x:v>用户v2《题库底稿》第15行
本地横纵研究报告：2026-05-18-极佳视界-gigaai-横纵分析报告.md（引用新闻未全部重访）</x:v>
      </x:c>
      <x:c r="J13" s="56" t="str">
        <x:v>https://m.zhipin.com/companys/cba19a4c7e5de3a51H160924E1Y~.html
https://pitchhub.36kr.com/project/2775592415827203
https://www.taibo.cn/company/101255
https://www.donews.com/news/detail/4/4552940.html
https://m.ikanchai.com/article/155515
https://www.zaoche168.com/detail/_01-ABC00000000000346533.shtml</x:v>
      </x:c>
      <x:c r="K13" s="13" t="str">
        <x:v>补齐原型G、I、K和游戏E、H、J、L、M；使用中性代称，回报输入可追溯至假设。</x:v>
      </x:c>
    </x:row>
    <x:row r="14" ht="130" customHeight="1">
      <x:c r="A14" s="9" t="str">
        <x:v>VC07</x:v>
      </x:c>
      <x:c r="B14" s="9" t="str">
        <x:v>灵初智能</x:v>
      </x:c>
      <x:c r="C14" s="9" t="n">
        <x:v>17</x:v>
      </x:c>
      <x:c r="D14" s="9" t="str">
        <x:v>2024年，种子阶段。详见主表首轮信息，游戏进入年不必等于公司成立或首轮真实年份。</x:v>
      </x:c>
      <x:c r="E14" s="9" t="str">
        <x:v>成长待定。按成本持有结算，留出技术验证与投资退出之间的等待空间。</x:v>
      </x:c>
      <x:c r="F14" s="9" t="str">
        <x:v>高开高走；成长待定。标签不是未来成功概率或真实VC盈利率。</x:v>
      </x:c>
      <x:c r="G14" s="9" t="str">
        <x:v>观察期短且无可比估值，教学上暂按成本指数1到1计1倍；不是预测公司没有增长。</x:v>
      </x:c>
      <x:c r="H14" s="9" t="str">
        <x:v>卡片按所选进入阶段描述能力、客户或计划；后续融资、上市、经营挫折和新产品只写原型故事与复盘。未核月份不制造精确快照。</x:v>
      </x:c>
      <x:c r="I14" s="9" t="str">
        <x:v>用户v2《题库底稿》第17行
本地横纵研究报告：2026-05-18-灵初智能-横纵分析报告.md（引用新闻未全部重访）
本轮重点事实依据，见链接及本行边界
2026-10-14读取公司官网／页面；产品页面不作为估值证据</x:v>
      </x:c>
      <x:c r="J14" s="55" t="str">
        <x:v>https://www.psibot.ai/about-us_zh/
https://www.psibot.ai/
https://www.psibot.ai/products_zh/product_psibot-v1_zh/
https://www.psibot.ai/products_zh/product_psibot-h1_zh/
https://www.psibot.ai/product_psibot-e1_zh/
https://www.psibot.ai/%E7%81%B5%E5%88%9D%E6%99%BA%E8%83%BD%E5%8F%91%E5%B8%83%E8%87%AA%E7%A0%94%E6%95%B4%E6%9C%BA%CF%88-synrobot%E5%B9%B6%E5%90%AF%E5%8A%A8%E9%87%8F%E4%BA%A7%EF%BC%8C%E6%AD%A3%E5%BC%8F%E5%BC%80%E5%90%AF/</x:v>
      </x:c>
      <x:c r="K14" s="9" t="str">
        <x:v>补齐原型G、I、K和游戏E、H、J、L、M；使用中性代称，回报输入可追溯至假设。</x:v>
      </x:c>
    </x:row>
    <x:row r="15" ht="100" customHeight="1">
      <x:c r="A15" s="13" t="str">
        <x:v>VC08</x:v>
      </x:c>
      <x:c r="B15" s="13" t="str">
        <x:v>银河通用</x:v>
      </x:c>
      <x:c r="C15" s="13" t="n">
        <x:v>43</x:v>
      </x:c>
      <x:c r="D15" s="13" t="str">
        <x:v>2024年，天使阶段。详见主表首轮信息，游戏进入年不必等于公司成立或首轮真实年份。</x:v>
      </x:c>
      <x:c r="E15" s="13" t="str">
        <x:v>成长待定。零售任务帮助量化能力，投资回报仍为教学情景。</x:v>
      </x:c>
      <x:c r="F15" s="13" t="str">
        <x:v>高开高走；成长待定。标签不是未来成功概率或真实VC盈利率。</x:v>
      </x:c>
      <x:c r="G15" s="13" t="str">
        <x:v>模拟移动操作在有限任务中扩展部署，估值5倍；真实融资节点只解释阶段，不用于反推。</x:v>
      </x:c>
      <x:c r="H15" s="13" t="str">
        <x:v>卡片按所选进入阶段描述能力、客户或计划；后续融资、上市、经营挫折和新产品只写原型故事与复盘。未核月份不制造精确快照。</x:v>
      </x:c>
      <x:c r="I15" s="13" t="str">
        <x:v>用户v2《题库底稿》第43行
本项目历史题库资料（历史摘要，非本轮全部原文核验）
本地横纵研究报告：2026-05-17-银河通用-galbot-横纵分析报告.md（引用新闻未全部重访）</x:v>
      </x:c>
      <x:c r="J15" s="56" t="str">
        <x:v>https://finance.sina.com.cn/stock/bxjj/2024-06-21/doc-inaznnuf2019928.shtml
https://www.eeo.com.cn/2024/1118/698468.shtml
https://cn.technode.com/post/2024-11-19/galbot/
https://kw.beijing.gov.cn/xwdt/kcyx/xwdtyqqy/202506/t20250624_4121624.html
https://stcn.com/article/detail/2194448.html
https://www.nbd.com.cn/articles/2025-12-19/4187129.html</x:v>
      </x:c>
      <x:c r="K15" s="13" t="str">
        <x:v>补齐原型G、I、K和游戏E、H、J、L、M；使用中性代称，回报输入可追溯至假设。</x:v>
      </x:c>
    </x:row>
    <x:row r="16" ht="115" customHeight="1">
      <x:c r="A16" s="9" t="str">
        <x:v>VC09</x:v>
      </x:c>
      <x:c r="B16" s="9" t="str">
        <x:v>星海图</x:v>
      </x:c>
      <x:c r="C16" s="9" t="n">
        <x:v>44</x:v>
      </x:c>
      <x:c r="D16" s="9" t="str">
        <x:v>2023年，天使阶段。详见主表首轮信息，游戏进入年不必等于公司成立或首轮真实年份。</x:v>
      </x:c>
      <x:c r="E16" s="9" t="str">
        <x:v>成长待定。研发平台到生产工具的转换决定商业空间。</x:v>
      </x:c>
      <x:c r="F16" s="9" t="str">
        <x:v>高开高走；成长待定。标签不是未来成功概率或真实VC盈利率。</x:v>
      </x:c>
      <x:c r="G16" s="9" t="str">
        <x:v>模拟开发平台与数据闭环被更多客户采用，估值6倍；不采用累计融资代理。</x:v>
      </x:c>
      <x:c r="H16" s="9" t="str">
        <x:v>卡片按所选进入阶段描述能力、客户或计划；后续融资、上市、经营挫折和新产品只写原型故事与复盘。未核月份不制造精确快照。</x:v>
      </x:c>
      <x:c r="I16" s="9" t="str">
        <x:v>用户v2《题库底稿》第44行
本项目历史题库资料（历史摘要，非本轮全部原文核验）
本地横纵研究报告：2026-05-17-星海图-galaxea-ai-横纵分析报告.md（引用新闻未全部重访）</x:v>
      </x:c>
      <x:c r="J16" s="55" t="str">
        <x:v>https://finance.sina.com.cn/jjxw/2024-11-04/doc-incuwfym2395263.shtml
https://galaxea-ai.com/cn/about
https://m.shuidi.cn/company-00adde09bc4312311b2ccb6de1ee1401.html
https://finance.sina.com.cn/tech/shenji/2025-03-29/doc-inerinss3214874.shtml?froms=ggmp
https://static.cninfo.com.cn/finalpage/2026-01-29/1224955183.PDF
https://www.worldrobotconference.com/profile/robot/download/2025/07/03/%E6%98%9F%E6%B5%B7%E5%9B%BE%E5%85%AC%E5%8F%B8%E4%BB%8B%E7%BB%8D_20250703213011A712.pdf</x:v>
      </x:c>
      <x:c r="K16" s="9" t="str">
        <x:v>补齐原型G、I、K和游戏E、H、J、L、M；使用中性代称，回报输入可追溯至假设。</x:v>
      </x:c>
    </x:row>
    <x:row r="17" ht="100" customHeight="1">
      <x:c r="A17" s="13" t="str">
        <x:v>VC10</x:v>
      </x:c>
      <x:c r="B17" s="13" t="str">
        <x:v>极智嘉</x:v>
      </x:c>
      <x:c r="C17" s="13" t="n">
        <x:v>8</x:v>
      </x:c>
      <x:c r="D17" s="13" t="str">
        <x:v>2015年，早期阶段。详见主表首轮信息，游戏进入年不必等于公司成立或首轮真实年份。</x:v>
      </x:c>
      <x:c r="E17" s="13" t="str">
        <x:v>正向参考。清楚的企业ROI与复制交付是成功机制，现金回报取决于交易价格。</x:v>
      </x:c>
      <x:c r="F17" s="13" t="str">
        <x:v>高开高走；正向参考。标签不是未来成功概率或真实VC盈利率。</x:v>
      </x:c>
      <x:c r="G17" s="13" t="str">
        <x:v>模拟仓储标准产品和全球客户形成20倍估值；两端为教学估值，不等于上市投资者真实收益。</x:v>
      </x:c>
      <x:c r="H17" s="13" t="str">
        <x:v>卡片按所选进入阶段描述能力、客户或计划；后续融资、上市、经营挫折和新产品只写原型故事与复盘。未核月份不制造精确快照。</x:v>
      </x:c>
      <x:c r="I17" s="13" t="str">
        <x:v>用户v2《题库底稿》第8行
本项目历史题库资料（历史摘要，非本轮全部原文核验）</x:v>
      </x:c>
      <x:c r="J17" s="56" t="str">
        <x:v>https://www.geekplus.com/</x:v>
      </x:c>
      <x:c r="K17" s="13" t="str">
        <x:v>补齐原型G、I、K和游戏E、H、J、L、M；使用中性代称，回报输入可追溯至假设。</x:v>
      </x:c>
    </x:row>
    <x:row r="18" ht="100" customHeight="1">
      <x:c r="A18" s="9" t="str">
        <x:v>VC11</x:v>
      </x:c>
      <x:c r="B18" s="9" t="str">
        <x:v>越疆机器人</x:v>
      </x:c>
      <x:c r="C18" s="9" t="n">
        <x:v>9</x:v>
      </x:c>
      <x:c r="D18" s="9" t="str">
        <x:v>2015年，早期阶段。详见主表首轮信息，游戏进入年不必等于公司成立或首轮真实年份。</x:v>
      </x:c>
      <x:c r="E18" s="9" t="str">
        <x:v>正向参考。低门槛产品形成渠道，但应用集成仍影响盈利。</x:v>
      </x:c>
      <x:c r="F18" s="9" t="str">
        <x:v>低开高走；正向参考。标签不是未来成功概率或真实VC盈利率。</x:v>
      </x:c>
      <x:c r="G18" s="9" t="str">
        <x:v>模拟轻型机械臂从小市场进入工业渠道，估值15倍；不是用累计融资计算。</x:v>
      </x:c>
      <x:c r="H18" s="9" t="str">
        <x:v>卡片按所选进入阶段描述能力、客户或计划；后续融资、上市、经营挫折和新产品只写原型故事与复盘。未核月份不制造精确快照。</x:v>
      </x:c>
      <x:c r="I18" s="9" t="str">
        <x:v>用户v2《题库底稿》第9行
本项目历史题库资料（历史摘要，非本轮全部原文核验）
本轮重点事实依据，见链接及本行边界</x:v>
      </x:c>
      <x:c r="J18" s="55" t="str">
        <x:v>https://www.dobot.cn/</x:v>
      </x:c>
      <x:c r="K18" s="9" t="str">
        <x:v>补齐原型G、I、K和游戏E、H、J、L、M；使用中性代称，回报输入可追溯至假设。</x:v>
      </x:c>
    </x:row>
    <x:row r="19" ht="100" customHeight="1">
      <x:c r="A19" s="13" t="str">
        <x:v>VC12</x:v>
      </x:c>
      <x:c r="B19" s="13" t="str">
        <x:v>石头科技</x:v>
      </x:c>
      <x:c r="C19" s="13" t="n">
        <x:v>10</x:v>
      </x:c>
      <x:c r="D19" s="13" t="str">
        <x:v>2014年，天使阶段。详见主表首轮信息，游戏进入年不必等于公司成立或首轮真实年份。</x:v>
      </x:c>
      <x:c r="E19" s="13" t="str">
        <x:v>正向参考。技术提升清洁体验与渠道验证共同推动扩张。</x:v>
      </x:c>
      <x:c r="F19" s="13" t="str">
        <x:v>低开高走；正向参考。标签不是未来成功概率或真实VC盈利率。</x:v>
      </x:c>
      <x:c r="G19" s="13" t="str">
        <x:v>模拟导航产品与自主品牌形成200倍估值，表现消费硬件长尾赢家；输入是教学定价。</x:v>
      </x:c>
      <x:c r="H19" s="13" t="str">
        <x:v>卡片按所选进入阶段描述能力、客户或计划；后续融资、上市、经营挫折和新产品只写原型故事与复盘。未核月份不制造精确快照。</x:v>
      </x:c>
      <x:c r="I19" s="13" t="str">
        <x:v>用户v2《题库底稿》第10行
本项目历史题库资料（历史摘要，非本轮全部原文核验）</x:v>
      </x:c>
      <x:c r="J19" s="56" t="str">
        <x:v>https://www.roborock.com/</x:v>
      </x:c>
      <x:c r="K19" s="13" t="str">
        <x:v>补齐原型G、I、K和游戏E、H、J、L、M；使用中性代称，回报输入可追溯至假设。</x:v>
      </x:c>
    </x:row>
    <x:row r="20" ht="130" customHeight="1">
      <x:c r="A20" s="9" t="str">
        <x:v>VC13</x:v>
      </x:c>
      <x:c r="B20" s="9" t="str">
        <x:v>普渡科技</x:v>
      </x:c>
      <x:c r="C20" s="9" t="n">
        <x:v>13</x:v>
      </x:c>
      <x:c r="D20" s="9" t="str">
        <x:v>2016年，种子／天使阶段。详见主表首轮信息，游戏进入年不必等于公司成立或首轮真实年份。</x:v>
      </x:c>
      <x:c r="E20" s="9" t="str">
        <x:v>正向参考。机器人需要用服务密度与门店经济性证明价值。</x:v>
      </x:c>
      <x:c r="F20" s="9" t="str">
        <x:v>低开高走；正向参考。标签不是未来成功概率或真实VC盈利率。</x:v>
      </x:c>
      <x:c r="G20" s="9" t="str">
        <x:v>模拟餐饮切口复制到全球渠道，估值120倍；终点低于2026新闻稿估值也不构成真实估值认定。</x:v>
      </x:c>
      <x:c r="H20" s="9" t="str">
        <x:v>卡片按所选进入阶段描述能力、客户或计划；后续融资、上市、经营挫折和新产品只写原型故事与复盘。未核月份不制造精确快照。</x:v>
      </x:c>
      <x:c r="I20" s="9" t="str">
        <x:v>用户v2《题库底稿》第13行
本项目历史题库资料（历史摘要，非本轮全部原文核验）
本地横纵研究报告：2026-05-17-普渡科技-横纵分析报告.md（引用新闻未全部重访）
本轮重点事实依据，见链接及本行边界</x:v>
      </x:c>
      <x:c r="J20" s="55" t="str">
        <x:v>https://www.prnewswire.com/news-releases/pudu-robotics-raises-nearly-usd-150-million-exceeds-usd-1-5-billion-valuation-302751139.html
https://www.pudurobotics.com/
https://www.pudutech.com/zh-CN/news/pudu-robotics-advances-general-embodied-ai-portfolio-pudu-d9
https://m.shuidi.cn/company-3794ee298f28122a8514d04338841fd3.html
https://www.pudurobotics.com/en/company
https://www.pudurobotics.com/about/news/63edfa82f4a6d7005004b242</x:v>
      </x:c>
      <x:c r="K20" s="9" t="str">
        <x:v>补齐原型G、I、K和游戏E、H、J、L、M；使用中性代称，回报输入可追溯至假设。</x:v>
      </x:c>
    </x:row>
    <x:row r="21" ht="100" customHeight="1">
      <x:c r="A21" s="13" t="str">
        <x:v>VC14</x:v>
      </x:c>
      <x:c r="B21" s="13" t="str">
        <x:v>大疆创新</x:v>
      </x:c>
      <x:c r="C21" s="13" t="n">
        <x:v>47</x:v>
      </x:c>
      <x:c r="D21" s="13" t="str">
        <x:v>2006年，创办期教学进入。详见主表首轮信息，游戏进入年不必等于公司成立或首轮真实年份。</x:v>
      </x:c>
      <x:c r="E21" s="13" t="str">
        <x:v>正向参考。产品易用性让小众工程市场扩大为消费市场，极高倍数明确为教学情景。</x:v>
      </x:c>
      <x:c r="F21" s="13" t="str">
        <x:v>低开高走；正向参考。标签不是未来成功概率或真实VC盈利率。</x:v>
      </x:c>
      <x:c r="G21" s="13" t="str">
        <x:v>模拟飞控模块扩展为大规模消费整机，设300倍教学估值；不是历史真实投资回报。</x:v>
      </x:c>
      <x:c r="H21" s="13" t="str">
        <x:v>卡片按所选进入阶段描述能力、客户或计划；后续融资、上市、经营挫折和新产品只写原型故事与复盘。未核月份不制造精确快照。</x:v>
      </x:c>
      <x:c r="I21" s="13" t="str">
        <x:v>用户v2《题库底稿》第47行
本项目历史题库资料（历史摘要，非本轮全部原文核验）</x:v>
      </x:c>
      <x:c r="J21" s="56" t="str">
        <x:v>https://www.dji.com/</x:v>
      </x:c>
      <x:c r="K21" s="13" t="str">
        <x:v>补齐原型G、I、K和游戏E、H、J、L、M；使用中性代称，回报输入可追溯至假设。</x:v>
      </x:c>
    </x:row>
    <x:row r="22" ht="100" customHeight="1">
      <x:c r="A22" s="9" t="str">
        <x:v>VC15</x:v>
      </x:c>
      <x:c r="B22" s="9" t="str">
        <x:v>追觅科技</x:v>
      </x:c>
      <x:c r="C22" s="9" t="n">
        <x:v>49</x:v>
      </x:c>
      <x:c r="D22" s="9" t="str">
        <x:v>2017年，早期融资阶段。详见主表首轮信息，游戏进入年不必等于公司成立或首轮真实年份。</x:v>
      </x:c>
      <x:c r="E22" s="9" t="str">
        <x:v>正向参考。技术性能经产品和渠道转化为收入，扩品类仍需单独验证。</x:v>
      </x:c>
      <x:c r="F22" s="9" t="str">
        <x:v>低开高走；正向参考。标签不是未来成功概率或真实VC盈利率。</x:v>
      </x:c>
      <x:c r="G22" s="9" t="str">
        <x:v>模拟高速电机优势转化为品牌与海外销售，估值80倍；与真实融资额分开。</x:v>
      </x:c>
      <x:c r="H22" s="9" t="str">
        <x:v>卡片按所选进入阶段描述能力、客户或计划；后续融资、上市、经营挫折和新产品只写原型故事与复盘。未核月份不制造精确快照。</x:v>
      </x:c>
      <x:c r="I22" s="9" t="str">
        <x:v>用户v2《题库底稿》第49行
本项目历史题库资料（历史摘要，非本轮全部原文核验）</x:v>
      </x:c>
      <x:c r="J22" s="55" t="str">
        <x:v>https://www.dreametech.com/</x:v>
      </x:c>
      <x:c r="K22" s="9" t="str">
        <x:v>补齐原型G、I、K和游戏E、H、J、L、M；使用中性代称，回报输入可追溯至假设。</x:v>
      </x:c>
    </x:row>
    <x:row r="23" ht="100" customHeight="1">
      <x:c r="A23" s="13" t="str">
        <x:v>VC16</x:v>
      </x:c>
      <x:c r="B23" s="13" t="str">
        <x:v>擎朗智能</x:v>
      </x:c>
      <x:c r="C23" s="13" t="n">
        <x:v>48</x:v>
      </x:c>
      <x:c r="D23" s="13" t="str">
        <x:v>2016年，首批外部融资阶段。详见主表首轮信息，游戏进入年不必等于公司成立或首轮真实年份。</x:v>
      </x:c>
      <x:c r="E23" s="13" t="str">
        <x:v>正向参考。与普渡配对时突出门店复制和维护网络，避免重复技术叙事。</x:v>
      </x:c>
      <x:c r="F23" s="13" t="str">
        <x:v>低开高走；正向参考。标签不是未来成功概率或真实VC盈利率。</x:v>
      </x:c>
      <x:c r="G23" s="13" t="str">
        <x:v>模拟门店标准部署及服务网络形成30倍估值；不以历史融资总额计算。</x:v>
      </x:c>
      <x:c r="H23" s="13" t="str">
        <x:v>卡片按所选进入阶段描述能力、客户或计划；后续融资、上市、经营挫折和新产品只写原型故事与复盘。未核月份不制造精确快照。</x:v>
      </x:c>
      <x:c r="I23" s="13" t="str">
        <x:v>用户v2《题库底稿》第48行
本项目历史题库资料（历史摘要，非本轮全部原文核验）
本地横纵研究报告：2026-05-17-擎朗智能-横纵分析报告.md（引用新闻未全部重访）</x:v>
      </x:c>
      <x:c r="J23" s="56" t="str">
        <x:v>https://www.keenon.com/cn/about/index.html
https://m.shuidi.cn/company-eb04e6fef59902aee6a8ac2e8cfda1cc.html
https://www.prnasia.com/story/483743-1.shtml
https://www.prnasia.com/story/497804-1.shtml
https://www.prnasia.com/lightnews/lightnews-1-102-36490.shtml
https://www.cls.cn/detail/651598</x:v>
      </x:c>
      <x:c r="K23" s="13" t="str">
        <x:v>补齐原型G、I、K和游戏E、H、J、L、M；使用中性代称，回报输入可追溯至假设。</x:v>
      </x:c>
    </x:row>
    <x:row r="24" ht="100" customHeight="1">
      <x:c r="A24" s="9" t="str">
        <x:v>VC17</x:v>
      </x:c>
      <x:c r="B24" s="9" t="str">
        <x:v>深兰机器人（上海主体）</x:v>
      </x:c>
      <x:c r="C24" s="9" t="n">
        <x:v>12</x:v>
      </x:c>
      <x:c r="D24" s="9" t="str">
        <x:v>2017年，子公司早期教学进入。详见主表首轮信息，游戏进入年不必等于公司成立或首轮真实年份。</x:v>
      </x:c>
      <x:c r="E24" s="9" t="str">
        <x:v>重大挫折。多场景推进、验收与现金流构成复盘机制，不评价个人能力或人格。</x:v>
      </x:c>
      <x:c r="F24" s="9" t="str">
        <x:v>高开低走；重大挫折。标签不是未来成功概率或真实VC盈利率。</x:v>
      </x:c>
      <x:c r="G24" s="9" t="str">
        <x:v>子公司清算的普通股零回收教学情景；实际清偿比例未核实，不据此归零整个集团。</x:v>
      </x:c>
      <x:c r="H24" s="9" t="str">
        <x:v>卡片按所选进入阶段描述能力、客户或计划；后续融资、上市、经营挫折和新产品只写原型故事与复盘。未核月份不制造精确快照。</x:v>
      </x:c>
      <x:c r="I24" s="9" t="str">
        <x:v>用户v2《题库底稿》第12行
本轮重点事实依据，见链接及本行边界</x:v>
      </x:c>
      <x:c r="J24" s="55" t="str">
        <x:v>https://tech.ifeng.com/c/8wRZu7eT4zs</x:v>
      </x:c>
      <x:c r="K24" s="9" t="str">
        <x:v>补齐原型G、I、K和游戏E、H、J、L、M；使用中性代称，回报输入可追溯至假设。</x:v>
      </x:c>
    </x:row>
    <x:row r="25" ht="100" customHeight="1">
      <x:c r="A25" s="13" t="str">
        <x:v>VC18</x:v>
      </x:c>
      <x:c r="B25" s="13" t="str">
        <x:v>达闼机器人（北京子公司）</x:v>
      </x:c>
      <x:c r="C25" s="13" t="n">
        <x:v>57</x:v>
      </x:c>
      <x:c r="D25" s="13" t="str">
        <x:v>2018年，子公司早期教学进入。详见主表首轮信息，游戏进入年不必等于公司成立或首轮真实年份。</x:v>
      </x:c>
      <x:c r="E25" s="13" t="str">
        <x:v>重大挫折。云平台愿景需要靠端侧稳定、现场交付和现金流兑现。</x:v>
      </x:c>
      <x:c r="F25" s="13" t="str">
        <x:v>高开低走；重大挫折。标签不是未来成功概率或真实VC盈利率。</x:v>
      </x:c>
      <x:c r="G25" s="13" t="str">
        <x:v>北京子公司普通股零回收教学情景，未核实清偿；不代表达闼集团全部主体结局。</x:v>
      </x:c>
      <x:c r="H25" s="13" t="str">
        <x:v>卡片按所选进入阶段描述能力、客户或计划；后续融资、上市、经营挫折和新产品只写原型故事与复盘。未核月份不制造精确快照。</x:v>
      </x:c>
      <x:c r="I25" s="13" t="str">
        <x:v>用户v2《题库底稿》第57行
本轮重点事实依据，见链接及本行边界</x:v>
      </x:c>
      <x:c r="J25" s="56" t="str">
        <x:v>https://eu.36kr.com/zh/p/4005436924612484</x:v>
      </x:c>
      <x:c r="K25" s="13" t="str">
        <x:v>补齐原型G、I、K和游戏E、H、J、L、M；使用中性代称，回报输入可追溯至假设。</x:v>
      </x:c>
    </x:row>
    <x:row r="26" ht="100" customHeight="1">
      <x:c r="A26" s="9" t="str">
        <x:v>VC19</x:v>
      </x:c>
      <x:c r="B26" s="9" t="str">
        <x:v>盈合机器人</x:v>
      </x:c>
      <x:c r="C26" s="9" t="n">
        <x:v>56</x:v>
      </x:c>
      <x:c r="D26" s="9" t="str">
        <x:v>2020年，天使阶段。详见主表首轮信息，游戏进入年不必等于公司成立或首轮真实年份。</x:v>
      </x:c>
      <x:c r="E26" s="9" t="str">
        <x:v>重大挫折。纠正上一轮误写“四足”的行业与故事；复盘聚焦多行业项目的交付现金流。</x:v>
      </x:c>
      <x:c r="F26" s="9" t="str">
        <x:v>高开低走；重大挫折。标签不是未来成功概率或真实VC盈利率。</x:v>
      </x:c>
      <x:c r="G26" s="9" t="str">
        <x:v>破产程序下的普通股零回收教学情景，实际清偿未知；不以债务或融资额计算。</x:v>
      </x:c>
      <x:c r="H26" s="9" t="str">
        <x:v>卡片按所选进入阶段描述能力、客户或计划；后续融资、上市、经营挫折和新产品只写原型故事与复盘。未核月份不制造精确快照。</x:v>
      </x:c>
      <x:c r="I26" s="9" t="str">
        <x:v>用户v2《题库底稿》第56行
本轮重点事实依据，见链接及本行边界</x:v>
      </x:c>
      <x:c r="J26" s="55" t="str">
        <x:v>https://eu.36kr.com/zh/p/4005436924612484</x:v>
      </x:c>
      <x:c r="K26" s="9" t="str">
        <x:v>补齐原型G、I、K和游戏E、H、J、L、M；使用中性代称，回报输入可追溯至假设。纠正上一轮四足误分类，现为工业自动化与城市服务。</x:v>
      </x:c>
    </x:row>
    <x:row r="27" ht="100" customHeight="1">
      <x:c r="A27" s="13" t="str">
        <x:v>VC20</x:v>
      </x:c>
      <x:c r="B27" s="13" t="str">
        <x:v>梅卡曼德</x:v>
      </x:c>
      <x:c r="C27" s="13" t="n">
        <x:v>18</x:v>
      </x:c>
      <x:c r="D27" s="13" t="str">
        <x:v>2016年，天使阶段。详见主表首轮信息，游戏进入年不必等于公司成立或首轮真实年份。</x:v>
      </x:c>
      <x:c r="E27" s="13" t="str">
        <x:v>正向参考。工业视觉标准化降低项目成本；625倍是人工指定基准。</x:v>
      </x:c>
      <x:c r="F27" s="13" t="str">
        <x:v>低开高走；正向参考。标签不是未来成功概率或真实VC盈利率。</x:v>
      </x:c>
      <x:c r="G27" s="13" t="str">
        <x:v>保留人工100÷0.16=625倍。进入估值与终点均沿用用户基准，上市及市值日期待补证。</x:v>
      </x:c>
      <x:c r="H27" s="13" t="str">
        <x:v>人工文案沿用，部分产品/行业表述的同期性未逐项核验；以用户案例标准保留，后续事件只用于复盘。</x:v>
      </x:c>
      <x:c r="I27" s="13" t="str">
        <x:v>用户v2《题库底稿》第18行
本项目历史题库资料（历史摘要，非本轮全部原文核验）</x:v>
      </x:c>
      <x:c r="J27" s="56" t="str">
        <x:v>https://www.mech-mind.com/</x:v>
      </x:c>
      <x:c r="K27" s="13" t="str">
        <x:v>保留人工B、E、H、J、L、M原文与原倍率；补真实G、I、K，澄清融资和结算口径。删除未经核验的最新上市市值断言，改为人工选定终点。</x:v>
      </x:c>
    </x:row>
    <x:row r="28" ht="100" customHeight="1">
      <x:c r="A28" s="9" t="str">
        <x:v>VC21</x:v>
      </x:c>
      <x:c r="B28" s="9" t="str">
        <x:v>柔宇科技</x:v>
      </x:c>
      <x:c r="C28" s="9" t="n">
        <x:v>19</x:v>
      </x:c>
      <x:c r="D28" s="9" t="str">
        <x:v>2016年，C+轮（人工选定进入点）。详见主表首轮信息，游戏进入年不必等于公司成立或首轮真实年份。</x:v>
      </x:c>
      <x:c r="E28" s="9" t="str">
        <x:v>重大挫折。工艺突破必须经良率、订单和资金周期验证。</x:v>
      </x:c>
      <x:c r="F28" s="9" t="str">
        <x:v>高开低走；重大挫折。标签不是未来成功概率或真实VC盈利率。</x:v>
      </x:c>
      <x:c r="G28" s="9" t="str">
        <x:v>人工保留0倍，作为普通股零回收游戏基准；破产事实成立但实际股东清偿未核。</x:v>
      </x:c>
      <x:c r="H28" s="9" t="str">
        <x:v>人工文案沿用，部分产品/行业表述的同期性未逐项核验；以用户案例标准保留，后续事件只用于复盘。</x:v>
      </x:c>
      <x:c r="I28" s="9" t="str">
        <x:v>用户v2《题库底稿》第19行
本轮重点事实依据，见链接及本行边界</x:v>
      </x:c>
      <x:c r="J28" s="55" t="str">
        <x:v>https://www.21jingji.com/article/20241119/herald/de8f0425477cb615c9a08cd3a4b3906f.html</x:v>
      </x:c>
      <x:c r="K28" s="9" t="str">
        <x:v>保留人工B、E、H、J、L、M原文与原倍率；补真实G、I、K，澄清融资和结算口径。</x:v>
      </x:c>
    </x:row>
    <x:row r="29" ht="100" customHeight="1">
      <x:c r="A29" s="13" t="str">
        <x:v>VC22</x:v>
      </x:c>
      <x:c r="B29" s="13" t="str">
        <x:v>禾赛科技</x:v>
      </x:c>
      <x:c r="C29" s="13" t="n">
        <x:v>20</x:v>
      </x:c>
      <x:c r="D29" s="13" t="str">
        <x:v>2016年，早期产品阶段。详见主表首轮信息，游戏进入年不必等于公司成立或首轮真实年份。</x:v>
      </x:c>
      <x:c r="E29" s="13" t="str">
        <x:v>正向参考。技术形成量产产品后仍受客户集中和价格竞争影响。</x:v>
      </x:c>
      <x:c r="F29" s="13" t="str">
        <x:v>高开高走；正向参考。标签不是未来成功概率或真实VC盈利率。</x:v>
      </x:c>
      <x:c r="G29" s="13" t="str">
        <x:v>模拟传感器从研发销售进入车规量产，估值25倍；不以出货数量或融资额直接定价。</x:v>
      </x:c>
      <x:c r="H29" s="13" t="str">
        <x:v>卡片按所选进入阶段描述能力、客户或计划；后续融资、上市、经营挫折和新产品只写原型故事与复盘。未核月份不制造精确快照。</x:v>
      </x:c>
      <x:c r="I29" s="13" t="str">
        <x:v>用户v2《题库底稿》第20行
本项目历史题库资料（历史摘要，非本轮全部原文核验）</x:v>
      </x:c>
      <x:c r="J29" s="56" t="str">
        <x:v>https://www.hesaitech.com/</x:v>
      </x:c>
      <x:c r="K29" s="13" t="str">
        <x:v>补齐原型G、I、K和游戏E、H、J、L、M；使用中性代称，回报输入可追溯至假设。</x:v>
      </x:c>
    </x:row>
    <x:row r="30" ht="100" customHeight="1">
      <x:c r="A30" s="9" t="str">
        <x:v>VC23</x:v>
      </x:c>
      <x:c r="B30" s="9" t="str">
        <x:v>速腾聚创</x:v>
      </x:c>
      <x:c r="C30" s="9" t="n">
        <x:v>21</x:v>
      </x:c>
      <x:c r="D30" s="9" t="str">
        <x:v>2015年，早期融资阶段。详见主表首轮信息，游戏进入年不必等于公司成立或首轮真实年份。</x:v>
      </x:c>
      <x:c r="E30" s="9" t="str">
        <x:v>正向参考。激光雷达题突出定点、量产和降价的差异。</x:v>
      </x:c>
      <x:c r="F30" s="9" t="str">
        <x:v>高开高走；正向参考。标签不是未来成功概率或真实VC盈利率。</x:v>
      </x:c>
      <x:c r="G30" s="9" t="str">
        <x:v>模拟研发客户扩展到量产定点，估值15倍；比同赛道案例低的倍率体现进入价格与业务路径差异。</x:v>
      </x:c>
      <x:c r="H30" s="9" t="str">
        <x:v>卡片按所选进入阶段描述能力、客户或计划；后续融资、上市、经营挫折和新产品只写原型故事与复盘。未核月份不制造精确快照。</x:v>
      </x:c>
      <x:c r="I30" s="9" t="str">
        <x:v>用户v2《题库底稿》第21行
本轮重点事实依据，见链接及本行边界
2026-10-14读取公司官网／页面；产品页面不作为估值证据</x:v>
      </x:c>
      <x:c r="J30" s="55" t="str">
        <x:v>https://www.robosense.ai/</x:v>
      </x:c>
      <x:c r="K30" s="9" t="str">
        <x:v>补齐原型G、I、K和游戏E、H、J、L、M；使用中性代称，回报输入可追溯至假设。</x:v>
      </x:c>
    </x:row>
    <x:row r="31" ht="100" customHeight="1">
      <x:c r="A31" s="13" t="str">
        <x:v>VC24</x:v>
      </x:c>
      <x:c r="B31" s="13" t="str">
        <x:v>绿的谐波</x:v>
      </x:c>
      <x:c r="C31" s="13" t="n">
        <x:v>22</x:v>
      </x:c>
      <x:c r="D31" s="13" t="str">
        <x:v>2016年，外部融资前后阶段。详见主表首轮信息，游戏进入年不必等于公司成立或首轮真实年份。</x:v>
      </x:c>
      <x:c r="E31" s="13" t="str">
        <x:v>正向参考。窄部件的可靠性和批次一致性可以形成长期客户关系。</x:v>
      </x:c>
      <x:c r="F31" s="13" t="str">
        <x:v>低开高走；正向参考。标签不是未来成功概率或真实VC盈利率。</x:v>
      </x:c>
      <x:c r="G31" s="13" t="str">
        <x:v>模拟工艺与客户验证形成20倍估值，终点和进入价均为教学参数。</x:v>
      </x:c>
      <x:c r="H31" s="13" t="str">
        <x:v>卡片按所选进入阶段描述能力、客户或计划；后续融资、上市、经营挫折和新产品只写原型故事与复盘。未核月份不制造精确快照。</x:v>
      </x:c>
      <x:c r="I31" s="13" t="str">
        <x:v>用户v2《题库底稿》第22行
本项目历史题库资料（历史摘要，非本轮全部原文核验）</x:v>
      </x:c>
      <x:c r="J31" s="56" t="str">
        <x:v>https://www.leaderdrive.com/</x:v>
      </x:c>
      <x:c r="K31" s="13" t="str">
        <x:v>补齐原型G、I、K和游戏E、H、J、L、M；使用中性代称，回报输入可追溯至假设。</x:v>
      </x:c>
    </x:row>
    <x:row r="32" ht="100" customHeight="1">
      <x:c r="A32" s="9" t="str">
        <x:v>VC25</x:v>
      </x:c>
      <x:c r="B32" s="9" t="str">
        <x:v>因时机器人</x:v>
      </x:c>
      <x:c r="C32" s="9" t="n">
        <x:v>25</x:v>
      </x:c>
      <x:c r="D32" s="9" t="str">
        <x:v>2017年，Pre-A线索阶段。详见主表首轮信息，游戏进入年不必等于公司成立或首轮真实年份。</x:v>
      </x:c>
      <x:c r="E32" s="9" t="str">
        <x:v>正向参考。小部件在新需求出现前已积累产品和制造能力。</x:v>
      </x:c>
      <x:c r="F32" s="9" t="str">
        <x:v>低开高走；正向参考。标签不是未来成功概率或真实VC盈利率。</x:v>
      </x:c>
      <x:c r="G32" s="9" t="str">
        <x:v>模拟微型执行器与后续整机采购建立10亿元教学终点，估值20倍；不引用后来客户数据作为早期信息。</x:v>
      </x:c>
      <x:c r="H32" s="9" t="str">
        <x:v>卡片按所选进入阶段描述能力、客户或计划；后续融资、上市、经营挫折和新产品只写原型故事与复盘。未核月份不制造精确快照。</x:v>
      </x:c>
      <x:c r="I32" s="9" t="str">
        <x:v>用户v2《题库底稿》第25行
本项目历史题库资料（历史摘要，非本轮全部原文核验）
本地横纵研究报告：2026-05-17-因时机器人-横纵分析报告.md（引用新闻未全部重访）
本轮重点事实依据，见链接及本行边界</x:v>
      </x:c>
      <x:c r="J32" s="55" t="str">
        <x:v>https://www.inspire-robots.com/
https://www.inspire-robots.com/news/industry%20news/2026-03-06/299.html
https://www.jobui.com/
https://www.inspire-robots.com/news/company%20news/2026-05-09/300.html
https://finance.sina.com.cn/jjxw/2026-05-15/doc-inhxxnfv3516515.shtml
https://static.sse.com.cn/stock/disclosure/announcement/c/202603/002178_20260320_OE27.pdf</x:v>
      </x:c>
      <x:c r="K32" s="9" t="str">
        <x:v>补齐原型G、I、K和游戏E、H、J、L、M；使用中性代称，回报输入可追溯至假设。</x:v>
      </x:c>
    </x:row>
    <x:row r="33" ht="100" customHeight="1">
      <x:c r="A33" s="13" t="str">
        <x:v>VC26</x:v>
      </x:c>
      <x:c r="B33" s="13" t="str">
        <x:v>蓝点触控</x:v>
      </x:c>
      <x:c r="C33" s="13" t="n">
        <x:v>26</x:v>
      </x:c>
      <x:c r="D33" s="13" t="str">
        <x:v>2020年，天使阶段。详见主表首轮信息，游戏进入年不必等于公司成立或首轮真实年份。</x:v>
      </x:c>
      <x:c r="E33" s="13" t="str">
        <x:v>成长待定。工业工艺与标定能力是主要验证点。</x:v>
      </x:c>
      <x:c r="F33" s="13" t="str">
        <x:v>低开高走；成长待定。标签不是未来成功概率或真实VC盈利率。</x:v>
      </x:c>
      <x:c r="G33" s="13" t="str">
        <x:v>模拟工业力控部件获得多个工艺验证，估值6倍；真实估值不可比时使用教学定价。</x:v>
      </x:c>
      <x:c r="H33" s="13" t="str">
        <x:v>卡片按所选进入阶段描述能力、客户或计划；后续融资、上市、经营挫折和新产品只写原型故事与复盘。未核月份不制造精确快照。</x:v>
      </x:c>
      <x:c r="I33" s="13" t="str">
        <x:v>用户v2《题库底稿》第26行
本地横纵研究报告：2026-05-18-蓝点触控-横纵分析报告.md（引用新闻未全部重访）</x:v>
      </x:c>
      <x:c r="J33" s="56" t="str">
        <x:v>https://www.worldrobotconference.com/expo/company/549.html
https://www.worldrobotconference.com/expo/product/31.html
https://finance.sina.com.cn/stock/vcpe/rzdt/2023-06-27/doc-imyytqep3428805.shtml
https://www.nbd.com.cn/articles/2023-06-27/2888866.html
https://news.pedaily.cn/202507/552387.shtml
https://finance.sina.com.cn/jjxw/2026-04-13/doc-inhukqut9526505.shtml?froms=ggmp</x:v>
      </x:c>
      <x:c r="K33" s="13" t="str">
        <x:v>补齐原型G、I、K和游戏E、H、J、L、M；使用中性代称，回报输入可追溯至假设。</x:v>
      </x:c>
    </x:row>
    <x:row r="34" ht="100" customHeight="1">
      <x:c r="A34" s="9" t="str">
        <x:v>VC27</x:v>
      </x:c>
      <x:c r="B34" s="9" t="str">
        <x:v>帕西尼</x:v>
      </x:c>
      <x:c r="C34" s="9" t="n">
        <x:v>27</x:v>
      </x:c>
      <x:c r="D34" s="9" t="str">
        <x:v>2021年，早期／孵化阶段。详见主表首轮信息，游戏进入年不必等于公司成立或首轮真实年份。</x:v>
      </x:c>
      <x:c r="E34" s="9" t="str">
        <x:v>成长待定。触觉精度还需要在寿命、标定和客户任务中兑现。</x:v>
      </x:c>
      <x:c r="F34" s="9" t="str">
        <x:v>低开高走；成长待定。标签不是未来成功概率或真实VC盈利率。</x:v>
      </x:c>
      <x:c r="G34" s="9" t="str">
        <x:v>模拟触觉产品进入更多整机合作，估值8倍；没有采用媒体百亿终点。</x:v>
      </x:c>
      <x:c r="H34" s="9" t="str">
        <x:v>卡片按所选进入阶段描述能力、客户或计划；后续融资、上市、经营挫折和新产品只写原型故事与复盘。未核月份不制造精确快照。</x:v>
      </x:c>
      <x:c r="I34" s="9" t="str">
        <x:v>用户v2《题库底稿》第27行
本地横纵研究报告：2026-05-17-帕西尼感知科技-横纵分析报告.md（引用新闻未全部重访）
本轮重点事实依据，见链接及本行边界
2026-10-14读取公司官网／页面；产品页面不作为估值证据</x:v>
      </x:c>
      <x:c r="J34" s="55" t="str">
        <x:v>https://www.paxini.com/
https://product-resources.paxini.com/
https://paxini.com/robot/pagepc
https://product-resources.paxini.com/zh/product/PXP-1080
https://product-resources.paxini.com/zh/product/DexH13
https://product-resources.paxini.com/zh/product/PAXIS-SUPER-EID-FACTORY</x:v>
      </x:c>
      <x:c r="K34" s="9" t="str">
        <x:v>补齐原型G、I、K和游戏E、H、J、L、M；使用中性代称，回报输入可追溯至假设。</x:v>
      </x:c>
    </x:row>
    <x:row r="35" ht="100" customHeight="1">
      <x:c r="A35" s="13" t="str">
        <x:v>VC28</x:v>
      </x:c>
      <x:c r="B35" s="13" t="str">
        <x:v>毫末智行</x:v>
      </x:c>
      <x:c r="C35" s="13" t="n">
        <x:v>14</x:v>
      </x:c>
      <x:c r="D35" s="13" t="str">
        <x:v>2021年，A轮前后（人工进入年）。详见主表首轮信息，游戏进入年不必等于公司成立或首轮真实年份。</x:v>
      </x:c>
      <x:c r="E35" s="13" t="str">
        <x:v>重大挫折。产业客户帮助启动，独立客户扩展与持续现金流仍是关键。</x:v>
      </x:c>
      <x:c r="F35" s="13" t="str">
        <x:v>高开低走；重大挫折。标签不是未来成功概率或真实VC盈利率。</x:v>
      </x:c>
      <x:c r="G35" s="13" t="str">
        <x:v>保留人工0倍，但纠正“最终破产”为停工及经营挫折下的游戏归零，司法破产与实际清偿未核。</x:v>
      </x:c>
      <x:c r="H35" s="13" t="str">
        <x:v>人工文案沿用，部分产品/行业表述的同期性未逐项核验；以用户案例标准保留，后续事件只用于复盘。</x:v>
      </x:c>
      <x:c r="I35" s="13" t="str">
        <x:v>用户v2《题库底稿》第14行
本项目历史题库资料（历史摘要，非本轮全部原文核验）
本轮重点事实依据，见链接及本行边界</x:v>
      </x:c>
      <x:c r="J35" s="56" t="str">
        <x:v>https://www.stcn.com/article/detail/3508580.html</x:v>
      </x:c>
      <x:c r="K35" s="13" t="str">
        <x:v>保留人工B、E、H、J、L、M原文与原倍率；补真实G、I、K，澄清融资和结算口径。“最终破产”改为停工报道对应的游戏归零，0倍保留。</x:v>
      </x:c>
    </x:row>
    <x:row r="36" ht="100" customHeight="1">
      <x:c r="A36" s="9" t="str">
        <x:v>VC29</x:v>
      </x:c>
      <x:c r="B36" s="9" t="str">
        <x:v>Momenta</x:v>
      </x:c>
      <x:c r="C36" s="9"/>
      <x:c r="D36" s="9" t="str">
        <x:v>2016年，天使阶段。详见主表首轮信息，游戏进入年不必等于公司成立或首轮真实年份。</x:v>
      </x:c>
      <x:c r="E36" s="9" t="str">
        <x:v>成长待定。与毫末配对，强调量产客户拓展与数据闭环而非只呈现挫折。</x:v>
      </x:c>
      <x:c r="F36" s="9" t="str">
        <x:v>高开高走；成长待定。标签不是未来成功概率或真实VC盈利率。</x:v>
      </x:c>
      <x:c r="G36" s="9" t="str">
        <x:v>模拟数据闭环获得量产车型合作，估值20倍；不是未来安全能力或投资退出的保证。</x:v>
      </x:c>
      <x:c r="H36" s="9" t="str">
        <x:v>卡片按所选进入阶段描述能力、客户或计划；后续融资、上市、经营挫折和新产品只写原型故事与复盘。未核月份不制造精确快照。</x:v>
      </x:c>
      <x:c r="I36" s="9" t="str">
        <x:v>本轮重点事实依据，见链接及本行边界</x:v>
      </x:c>
      <x:c r="J36" s="55" t="str">
        <x:v>https://www.momenta.ai/</x:v>
      </x:c>
      <x:c r="K36" s="9" t="str">
        <x:v>补齐原型G、I、K和游戏E、H、J、L、M；使用中性代称，回报输入可追溯至假设。</x:v>
      </x:c>
    </x:row>
    <x:row r="37" ht="100" customHeight="1">
      <x:c r="A37" s="13" t="str">
        <x:v>VC30</x:v>
      </x:c>
      <x:c r="B37" s="13" t="str">
        <x:v>纵目科技</x:v>
      </x:c>
      <x:c r="C37" s="13" t="n">
        <x:v>61</x:v>
      </x:c>
      <x:c r="D37" s="13" t="str">
        <x:v>2015年，早期融资阶段。详见主表首轮信息，游戏进入年不必等于公司成立或首轮真实年份。</x:v>
      </x:c>
      <x:c r="E37" s="13" t="str">
        <x:v>重大挫折。重整可能继续经营，投资损失与公司法律结局分别描述。</x:v>
      </x:c>
      <x:c r="F37" s="13" t="str">
        <x:v>高开低走；重大挫折。标签不是未来成功概率或真实VC盈利率。</x:v>
      </x:c>
      <x:c r="G37" s="13" t="str">
        <x:v>设置普通股仅回收10%的重整教学情景，不是已披露清偿率；净收益率-90%。</x:v>
      </x:c>
      <x:c r="H37" s="13" t="str">
        <x:v>卡片按所选进入阶段描述能力、客户或计划；后续融资、上市、经营挫折和新产品只写原型故事与复盘。未核月份不制造精确快照。</x:v>
      </x:c>
      <x:c r="I37" s="13" t="str">
        <x:v>用户v2《题库底稿》第61行
本轮重点事实依据，见链接及本行边界</x:v>
      </x:c>
      <x:c r="J37" s="56" t="str">
        <x:v>http://www.wrdrive.com/news/show.php?itemid=7516</x:v>
      </x:c>
      <x:c r="K37" s="13" t="str">
        <x:v>补齐原型G、I、K和游戏E、H、J、L、M；使用中性代称，回报输入可追溯至假设。</x:v>
      </x:c>
    </x:row>
    <x:row r="38" ht="100" customHeight="1">
      <x:c r="A38" s="9" t="str">
        <x:v>VC31</x:v>
      </x:c>
      <x:c r="B38" s="9" t="str">
        <x:v>沐曦</x:v>
      </x:c>
      <x:c r="C38" s="9" t="n">
        <x:v>2</x:v>
      </x:c>
      <x:c r="D38" s="9" t="str">
        <x:v>2020年，首轮（人工基准）。详见主表首轮信息，游戏进入年不必等于公司成立或首轮真实年份。</x:v>
      </x:c>
      <x:c r="E38" s="9" t="str">
        <x:v>正向参考。量产工程与软件生态支撑进入假设，结算用人工基准。</x:v>
      </x:c>
      <x:c r="F38" s="9" t="str">
        <x:v>高开高走；正向参考。标签不是未来成功概率或真实VC盈利率。</x:v>
      </x:c>
      <x:c r="G38" s="9" t="str">
        <x:v>保留210÷4.8=43.75倍，锁定用户2025年Pre-IPO终点；忽略稀释、税费及退出折价。</x:v>
      </x:c>
      <x:c r="H38" s="9" t="str">
        <x:v>人工文案沿用，部分产品/行业表述的同期性未逐项核验；以用户案例标准保留，后续事件只用于复盘。</x:v>
      </x:c>
      <x:c r="I38" s="9" t="str">
        <x:v>用户v2《题库底稿》第2行
本轮重点事实依据，见链接及本行边界
2026-10-14读取公司官网／页面；产品页面不作为估值证据</x:v>
      </x:c>
      <x:c r="J38" s="55" t="str">
        <x:v>https://www.metax-tech.com/</x:v>
      </x:c>
      <x:c r="K38" s="9" t="str">
        <x:v>保留人工B、E、H、J、L、M原文与原倍率；补真实G、I、K，澄清融资和结算口径。</x:v>
      </x:c>
    </x:row>
    <x:row r="39" ht="100" customHeight="1">
      <x:c r="A39" s="13" t="str">
        <x:v>VC32</x:v>
      </x:c>
      <x:c r="B39" s="13" t="str">
        <x:v>地平线</x:v>
      </x:c>
      <x:c r="C39" s="13" t="n">
        <x:v>3</x:v>
      </x:c>
      <x:c r="D39" s="13" t="str">
        <x:v>2015年，首轮融资阶段。详见主表首轮信息，游戏进入年不必等于公司成立或首轮真实年份。</x:v>
      </x:c>
      <x:c r="E39" s="13" t="str">
        <x:v>正向参考。汽车长周期导入一旦建立可形成产品收入，但不替代回报计算。</x:v>
      </x:c>
      <x:c r="F39" s="13" t="str">
        <x:v>高开高走；正向参考。标签不是未来成功概率或真实VC盈利率。</x:v>
      </x:c>
      <x:c r="G39" s="13" t="str">
        <x:v>模拟汽车AI芯片形成量产客户，估值20倍；不把上市本身视为现金收益。</x:v>
      </x:c>
      <x:c r="H39" s="13" t="str">
        <x:v>卡片按所选进入阶段描述能力、客户或计划；后续融资、上市、经营挫折和新产品只写原型故事与复盘。未核月份不制造精确快照。</x:v>
      </x:c>
      <x:c r="I39" s="13" t="str">
        <x:v>用户v2《题库底稿》第3行
本项目历史题库资料（历史摘要，非本轮全部原文核验）
本轮重点事实依据，见链接及本行边界
2026-10-14读取公司官网／页面；产品页面不作为估值证据</x:v>
      </x:c>
      <x:c r="J39" s="56" t="str">
        <x:v>https://en.wikipedia.org/wiki/Horizon_Robotics
https://www.horizon.cc/</x:v>
      </x:c>
      <x:c r="K39" s="13" t="str">
        <x:v>补齐原型G、I、K和游戏E、H、J、L、M；使用中性代称，回报输入可追溯至假设。</x:v>
      </x:c>
    </x:row>
    <x:row r="40" ht="100" customHeight="1">
      <x:c r="A40" s="9" t="str">
        <x:v>VC33</x:v>
      </x:c>
      <x:c r="B40" s="9" t="str">
        <x:v>摩尔线程</x:v>
      </x:c>
      <x:c r="C40" s="9" t="n">
        <x:v>4</x:v>
      </x:c>
      <x:c r="D40" s="9" t="str">
        <x:v>2020年，天使阶段。详见主表首轮信息，游戏进入年不必等于公司成立或首轮真实年份。</x:v>
      </x:c>
      <x:c r="E40" s="9" t="str">
        <x:v>成长待定。硬件量产和软件生态共同决定价值，资本进展待单独核。</x:v>
      </x:c>
      <x:c r="F40" s="9" t="str">
        <x:v>高开高走；成长待定。标签不是未来成功概率或真实VC盈利率。</x:v>
      </x:c>
      <x:c r="G40" s="9" t="str">
        <x:v>模拟首代GPU及行业适配形成5倍估值；与沐曦不同，不复制其人工回报。</x:v>
      </x:c>
      <x:c r="H40" s="9" t="str">
        <x:v>卡片按所选进入阶段描述能力、客户或计划；后续融资、上市、经营挫折和新产品只写原型故事与复盘。未核月份不制造精确快照。</x:v>
      </x:c>
      <x:c r="I40" s="9" t="str">
        <x:v>用户v2《题库底稿》第4行
本轮重点事实依据，见链接及本行边界
2026-10-14读取公司官网／页面；产品页面不作为估值证据</x:v>
      </x:c>
      <x:c r="J40" s="55" t="str">
        <x:v>https://www.mthreads.com/</x:v>
      </x:c>
      <x:c r="K40" s="9" t="str">
        <x:v>补齐原型G、I、K和游戏E、H、J、L、M；使用中性代称，回报输入可追溯至假设。</x:v>
      </x:c>
    </x:row>
    <x:row r="41" ht="100" customHeight="1">
      <x:c r="A41" s="13" t="str">
        <x:v>VC34</x:v>
      </x:c>
      <x:c r="B41" s="13" t="str">
        <x:v>哲库科技</x:v>
      </x:c>
      <x:c r="C41" s="13" t="n">
        <x:v>64</x:v>
      </x:c>
      <x:c r="D41" s="13" t="str">
        <x:v>2019年，企业内孵化教学进入。详见主表首轮信息，游戏进入年不必等于公司成立或首轮真实年份。</x:v>
      </x:c>
      <x:c r="E41" s="13" t="str">
        <x:v>重大挫折。资金、人才和装机入口具备，仍受母公司战略和预算约束。</x:v>
      </x:c>
      <x:c r="F41" s="13" t="str">
        <x:v>高开低走；重大挫折。标签不是未来成功概率或真实VC盈利率。</x:v>
      </x:c>
      <x:c r="G41" s="13" t="str">
        <x:v>企业内部计划关停的虚拟股权归零情景；不声称存在真实外部VC投资或相应损失。</x:v>
      </x:c>
      <x:c r="H41" s="13" t="str">
        <x:v>卡片按所选进入阶段描述能力、客户或计划；后续融资、上市、经营挫折和新产品只写原型故事与复盘。未核月份不制造精确快照。</x:v>
      </x:c>
      <x:c r="I41" s="13" t="str">
        <x:v>用户v2《题库底稿》第64行
本轮重点事实依据，见链接及本行边界</x:v>
      </x:c>
      <x:c r="J41" s="56" t="str">
        <x:v>https://www.eeo.com.cn/2023/0516/591883.shtml</x:v>
      </x:c>
      <x:c r="K41" s="13" t="str">
        <x:v>补齐原型G、I、K和游戏E、H、J、L、M；使用中性代称，回报输入可追溯至假设。</x:v>
      </x:c>
    </x:row>
    <x:row r="42" ht="100" customHeight="1">
      <x:c r="A42" s="9" t="str">
        <x:v>VC35</x:v>
      </x:c>
      <x:c r="B42" s="9" t="str">
        <x:v>月之暗面Kimi</x:v>
      </x:c>
      <x:c r="C42" s="9" t="n">
        <x:v>39</x:v>
      </x:c>
      <x:c r="D42" s="9" t="str">
        <x:v>2023年，天使阶段（人工基准）。详见主表首轮信息，游戏进入年不必等于公司成立或首轮真实年份。</x:v>
      </x:c>
      <x:c r="E42" s="9" t="str">
        <x:v>正向参考。长文档应用降低产品理解门槛，持续差异化与商业模式仍需验证。</x:v>
      </x:c>
      <x:c r="F42" s="9" t="str">
        <x:v>高开高走；正向参考。标签不是未来成功概率或真实VC盈利率。</x:v>
      </x:c>
      <x:c r="G42" s="9" t="str">
        <x:v>保留35÷3=11.6667倍，属于人工融资估值参考，未核实现金退出。</x:v>
      </x:c>
      <x:c r="H42" s="9" t="str">
        <x:v>人工文案沿用，部分产品/行业表述的同期性未逐项核验；以用户案例标准保留，后续事件只用于复盘。</x:v>
      </x:c>
      <x:c r="I42" s="9" t="str">
        <x:v>用户v2《题库底稿》第39行
本轮重点事实依据，见链接及本行边界
2026-10-14读取公司官网／页面；产品页面不作为估值证据</x:v>
      </x:c>
      <x:c r="J42" s="55" t="str">
        <x:v>https://www.moonshot.cn/</x:v>
      </x:c>
      <x:c r="K42" s="9" t="str">
        <x:v>保留人工B、E、H、J、L、M原文与原倍率；补真实G、I、K，澄清融资和结算口径。F轮与35亿美元终点日期待补，保留11.6667倍。</x:v>
      </x:c>
    </x:row>
    <x:row r="43" ht="100" customHeight="1">
      <x:c r="A43" s="13" t="str">
        <x:v>VC36</x:v>
      </x:c>
      <x:c r="B43" s="13" t="str">
        <x:v>智谱AI</x:v>
      </x:c>
      <x:c r="C43" s="13" t="n">
        <x:v>40</x:v>
      </x:c>
      <x:c r="D43" s="13" t="str">
        <x:v>2019年，首轮（人工基准）。详见主表首轮信息，游戏进入年不必等于公司成立或首轮真实年份。</x:v>
      </x:c>
      <x:c r="E43" s="13" t="str">
        <x:v>正向参考。企业入口和模型产品的可复制性形成对照，625倍沿用人工设定。</x:v>
      </x:c>
      <x:c r="F43" s="13" t="str">
        <x:v>高开高走；正向参考。标签不是未来成功概率或真实VC盈利率。</x:v>
      </x:c>
      <x:c r="G43" s="13" t="str">
        <x:v>保留2500÷4=625倍，未验证同主体市值日期；先作为人工基准，不宣称已实现回报。</x:v>
      </x:c>
      <x:c r="H43" s="13" t="str">
        <x:v>人工文案沿用，部分产品/行业表述的同期性未逐项核验；以用户案例标准保留，后续事件只用于复盘。</x:v>
      </x:c>
      <x:c r="I43" s="13" t="str">
        <x:v>用户v2《题库底稿》第40行
本轮重点事实依据，见链接及本行边界
2026-10-14读取公司官网／页面；产品页面不作为估值证据</x:v>
      </x:c>
      <x:c r="J43" s="56" t="str">
        <x:v>https://www.zhipuai.cn/</x:v>
      </x:c>
      <x:c r="K43" s="13" t="str">
        <x:v>保留人工B、E、H、J、L、M原文与原倍率；补真实G、I、K，澄清融资和结算口径。删除未经核验的最新上市市值断言，改为人工选定终点。</x:v>
      </x:c>
    </x:row>
    <x:row r="44" ht="100" customHeight="1">
      <x:c r="A44" s="9" t="str">
        <x:v>VC37</x:v>
      </x:c>
      <x:c r="B44" s="9" t="str">
        <x:v>百川智能</x:v>
      </x:c>
      <x:c r="C44" s="9" t="n">
        <x:v>41</x:v>
      </x:c>
      <x:c r="D44" s="9" t="str">
        <x:v>2023年，创办期／天使阶段。详见主表首轮信息，游戏进入年不必等于公司成立或首轮真实年份。</x:v>
      </x:c>
      <x:c r="E44" s="9" t="str">
        <x:v>高开待定。成熟经营团队也需要证明模型应用的付费和可复制性。</x:v>
      </x:c>
      <x:c r="F44" s="9" t="str">
        <x:v>高开待定；成长待定。标签不是未来成功概率或真实VC盈利率。</x:v>
      </x:c>
      <x:c r="G44" s="9" t="str">
        <x:v>通用到垂直应用的投入期且无可比估值，按成本持有1倍教学结算；不把转型定性为失败。</x:v>
      </x:c>
      <x:c r="H44" s="9" t="str">
        <x:v>卡片按所选进入阶段描述能力、客户或计划；后续融资、上市、经营挫折和新产品只写原型故事与复盘。未核月份不制造精确快照。</x:v>
      </x:c>
      <x:c r="I44" s="9" t="str">
        <x:v>用户v2《题库底稿》第41行
本轮重点事实依据，见链接及本行边界
2026-10-14读取公司官网／页面；产品页面不作为估值证据</x:v>
      </x:c>
      <x:c r="J44" s="55" t="str">
        <x:v>https://www.baichuan-ai.com/</x:v>
      </x:c>
      <x:c r="K44" s="9" t="str">
        <x:v>补齐原型G、I、K和游戏E、H、J、L、M；使用中性代称，回报输入可追溯至假设。</x:v>
      </x:c>
    </x:row>
    <x:row r="45" ht="100" customHeight="1">
      <x:c r="A45" s="13" t="str">
        <x:v>VC38</x:v>
      </x:c>
      <x:c r="B45" s="13" t="str">
        <x:v>VAST</x:v>
      </x:c>
      <x:c r="C45" s="13" t="n">
        <x:v>42</x:v>
      </x:c>
      <x:c r="D45" s="13" t="str">
        <x:v>2023年，早期阶段。详见主表首轮信息，游戏进入年不必等于公司成立或首轮真实年份。</x:v>
      </x:c>
      <x:c r="E45" s="13" t="str">
        <x:v>成长待定。3D内容可生产使用的程度比演示效果更重要。</x:v>
      </x:c>
      <x:c r="F45" s="13" t="str">
        <x:v>低开高走；成长待定。标签不是未来成功概率或真实VC盈利率。</x:v>
      </x:c>
      <x:c r="G45" s="13" t="str">
        <x:v>模拟3D创作工具形成一部分付费留存，估值4倍；收入与估值均未按真实交易断言。</x:v>
      </x:c>
      <x:c r="H45" s="13" t="str">
        <x:v>卡片按所选进入阶段描述能力、客户或计划；后续融资、上市、经营挫折和新产品只写原型故事与复盘。未核月份不制造精确快照。</x:v>
      </x:c>
      <x:c r="I45" s="13" t="str">
        <x:v>用户v2《题库底稿》第42行
本轮重点事实依据，见链接及本行边界</x:v>
      </x:c>
      <x:c r="J45" s="56" t="str">
        <x:v>https://www.tripo3d.ai/</x:v>
      </x:c>
      <x:c r="K45" s="13" t="str">
        <x:v>补齐原型G、I、K和游戏E、H、J、L、M；使用中性代称，回报输入可追溯至假设。</x:v>
      </x:c>
    </x:row>
    <x:row r="46" ht="100" customHeight="1">
      <x:c r="A46" s="9" t="str">
        <x:v>VC39</x:v>
      </x:c>
      <x:c r="B46" s="9" t="str">
        <x:v>群核科技</x:v>
      </x:c>
      <x:c r="C46" s="9" t="n">
        <x:v>34</x:v>
      </x:c>
      <x:c r="D46" s="9" t="str">
        <x:v>2013年，早期融资阶段。详见主表首轮信息，游戏进入年不必等于公司成立或首轮真实年份。</x:v>
      </x:c>
      <x:c r="E46" s="9" t="str">
        <x:v>成长待定。已有软件业务提供商业基础，但机器人数据用途仍需单独验证。</x:v>
      </x:c>
      <x:c r="F46" s="9" t="str">
        <x:v>高开高走；成长待定。标签不是未来成功概率或真实VC盈利率。</x:v>
      </x:c>
      <x:c r="G46" s="9" t="str">
        <x:v>模拟设计软件建立重复付费客户，估值10倍；空间智能延伸不额外虚增终点。</x:v>
      </x:c>
      <x:c r="H46" s="9" t="str">
        <x:v>卡片按所选进入阶段描述能力、客户或计划；后续融资、上市、经营挫折和新产品只写原型故事与复盘。未核月份不制造精确快照。</x:v>
      </x:c>
      <x:c r="I46" s="9" t="str">
        <x:v>用户v2《题库底稿》第34行
本轮重点事实依据，见链接及本行边界
2026-10-14读取公司官网／页面；产品页面不作为估值证据</x:v>
      </x:c>
      <x:c r="J46" s="55" t="str">
        <x:v>https://www.qunhe.com/</x:v>
      </x:c>
      <x:c r="K46" s="9" t="str">
        <x:v>补齐原型G、I、K和游戏E、H、J、L、M；使用中性代称，回报输入可追溯至假设。</x:v>
      </x:c>
    </x:row>
    <x:row r="47" ht="100" customHeight="1">
      <x:c r="A47" s="13" t="str">
        <x:v>VC40</x:v>
      </x:c>
      <x:c r="B47" s="13" t="str">
        <x:v>Scale AI</x:v>
      </x:c>
      <x:c r="C47" s="13" t="n">
        <x:v>35</x:v>
      </x:c>
      <x:c r="D47" s="13" t="str">
        <x:v>2021年，E轮估值参考。详见主表首轮信息，游戏进入年不必等于公司成立或首轮真实年份。</x:v>
      </x:c>
      <x:c r="E47" s="13" t="str">
        <x:v>正向参考。成熟客户服务有资本价值；估值比属于参考，不能等同单一股东已实现收益。</x:v>
      </x:c>
      <x:c r="F47" s="13" t="str">
        <x:v>高开高走；正向参考。标签不是未来成功概率或真实VC盈利率。</x:v>
      </x:c>
      <x:c r="G47" s="13" t="str">
        <x:v>按2021年E轮73亿美元与2024年F轮138亿美元，估值比1.8904倍；未计稀释、优先权，不等于现金退出。</x:v>
      </x:c>
      <x:c r="H47" s="13" t="str">
        <x:v>卡片按所选进入阶段描述能力、客户或计划；后续融资、上市、经营挫折和新产品只写原型故事与复盘。未核月份不制造精确快照。</x:v>
      </x:c>
      <x:c r="I47" s="13" t="str">
        <x:v>用户v2《题库底稿》第35行
本轮重点事实依据，见链接及本行边界
2026-10-14读取公司官网／页面；产品页面不作为估值证据</x:v>
      </x:c>
      <x:c r="J47" s="56" t="str">
        <x:v>https://fortune.com/2021/04/13/scale-ai-valuation-new-funding-fundraising-data-labeling-company-startups-vc/
https://scale.com/blog/series-e
https://www.cnbc.com/2024/05/21/amazon-meta-back-scale-ai-in-1-billion-funding-deal.html
https://en.wikipedia.org/wiki/Scale_AI</x:v>
      </x:c>
      <x:c r="K47" s="13" t="str">
        <x:v>补齐原型G、I、K和游戏E、H、J、L、M；使用中性代称，回报输入可追溯至假设。</x:v>
      </x:c>
    </x:row>
    <x:row r="48" ht="100" customHeight="1">
      <x:c r="A48" s="9" t="str">
        <x:v>VC41</x:v>
      </x:c>
      <x:c r="B48" s="9" t="str">
        <x:v>无问芯穹</x:v>
      </x:c>
      <x:c r="C48" s="9" t="n">
        <x:v>37</x:v>
      </x:c>
      <x:c r="D48" s="9" t="str">
        <x:v>2023年，天使阶段。详见主表首轮信息，游戏进入年不必等于公司成立或首轮真实年份。</x:v>
      </x:c>
      <x:c r="E48" s="9" t="str">
        <x:v>成长待定。适配广度必须与利用率、客户迁移收益和持续工程成本对照。</x:v>
      </x:c>
      <x:c r="F48" s="9" t="str">
        <x:v>高开高走；成长待定。标签不是未来成功概率或真实VC盈利率。</x:v>
      </x:c>
      <x:c r="G48" s="9" t="str">
        <x:v>模拟异构适配平台取得重复企业使用，估值3倍；不把资源投入全部当作公司估值。</x:v>
      </x:c>
      <x:c r="H48" s="9" t="str">
        <x:v>卡片按所选进入阶段描述能力、客户或计划；后续融资、上市、经营挫折和新产品只写原型故事与复盘。未核月份不制造精确快照。</x:v>
      </x:c>
      <x:c r="I48" s="9" t="str">
        <x:v>用户v2《题库底稿》第37行
本轮重点事实依据，见链接及本行边界
2026-10-14读取公司官网／页面；产品页面不作为估值证据</x:v>
      </x:c>
      <x:c r="J48" s="55" t="str">
        <x:v>https://www.infinigence.com/</x:v>
      </x:c>
      <x:c r="K48" s="9" t="str">
        <x:v>补齐原型G、I、K和游戏E、H、J、L、M；使用中性代称，回报输入可追溯至假设。</x:v>
      </x:c>
    </x:row>
    <x:row r="49" ht="100" customHeight="1">
      <x:c r="A49" s="13" t="str">
        <x:v>VC42</x:v>
      </x:c>
      <x:c r="B49" s="13" t="str">
        <x:v>硅基流动</x:v>
      </x:c>
      <x:c r="C49" s="13" t="n">
        <x:v>38</x:v>
      </x:c>
      <x:c r="D49" s="13" t="str">
        <x:v>2024年，早期融资阶段。详见主表首轮信息，游戏进入年不必等于公司成立或首轮真实年份。</x:v>
      </x:c>
      <x:c r="E49" s="13" t="str">
        <x:v>成长待定。工程降本是否能转成利润，取决于价格、负载和利用率。</x:v>
      </x:c>
      <x:c r="F49" s="13" t="str">
        <x:v>低开高走；成长待定。标签不是未来成功概率或真实VC盈利率。</x:v>
      </x:c>
      <x:c r="G49" s="13" t="str">
        <x:v>模拟推理服务获得持续调用，估值2.5倍，同时体现价格竞争压缩超额回报；为教学定价。</x:v>
      </x:c>
      <x:c r="H49" s="13" t="str">
        <x:v>卡片按所选进入阶段描述能力、客户或计划；后续融资、上市、经营挫折和新产品只写原型故事与复盘。未核月份不制造精确快照。</x:v>
      </x:c>
      <x:c r="I49" s="13" t="str">
        <x:v>用户v2《题库底稿》第38行
本轮重点事实依据，见链接及本行边界
2026-10-14读取公司官网／页面；产品页面不作为估值证据</x:v>
      </x:c>
      <x:c r="J49" s="56" t="str">
        <x:v>https://www.siliconflow.cn/</x:v>
      </x:c>
      <x:c r="K49" s="13" t="str">
        <x:v>补齐原型G、I、K和游戏E、H、J、L、M；使用中性代称，回报输入可追溯至假设。</x:v>
      </x:c>
    </x:row>
    <x:row r="50" ht="100" customHeight="1">
      <x:c r="A50" s="9" t="str">
        <x:v>VC43</x:v>
      </x:c>
      <x:c r="B50" s="9" t="str">
        <x:v>光轮智能</x:v>
      </x:c>
      <x:c r="C50" s="9" t="n">
        <x:v>16</x:v>
      </x:c>
      <x:c r="D50" s="9" t="str">
        <x:v>2023年，种子阶段。详见主表首轮信息，游戏进入年不必等于公司成立或首轮真实年份。</x:v>
      </x:c>
      <x:c r="E50" s="9" t="str">
        <x:v>成长待定。仿真数据能否改善真机任务决定客户价值。</x:v>
      </x:c>
      <x:c r="F50" s="9" t="str">
        <x:v>低开高走；成长待定。标签不是未来成功概率或真实VC盈利率。</x:v>
      </x:c>
      <x:c r="G50" s="9" t="str">
        <x:v>真实估值与经确认收入均未建立可比终点，按成本持有1倍；不是否定订单或技术增长。</x:v>
      </x:c>
      <x:c r="H50" s="9" t="str">
        <x:v>卡片按所选进入阶段描述能力、客户或计划；后续融资、上市、经营挫折和新产品只写原型故事与复盘。未核月份不制造精确快照。</x:v>
      </x:c>
      <x:c r="I50" s="9" t="str">
        <x:v>用户v2《题库底稿》第16行
本地横纵研究报告：2026-05-26-光轮智能-Lightwheel-横纵分析报告.md（引用新闻未全部重访）
本轮重点事实依据，见链接及本行边界
2026-10-14读取公司官网／页面；产品页面不作为估值证据</x:v>
      </x:c>
      <x:c r="J50" s="55" t="str">
        <x:v>https://lightwheel.ai/
https://www.lightwheel.ai/robofinals
https://lightwheel.ai/media/robofinals-industrial-benchmark
https://lightwheel.ai/media/lightwheel-benchmark-anouncement
https://lightwheel.ai/media/il-arena-benchmark-study
https://lightwheel.ai/media/lightwheel-nvidia-industrial-ai</x:v>
      </x:c>
      <x:c r="K50" s="9" t="str">
        <x:v>补齐原型G、I、K和游戏E、H、J、L、M；使用中性代称，回报输入可追溯至假设。</x:v>
      </x:c>
    </x:row>
    <x:row r="51" ht="100" customHeight="1">
      <x:c r="A51" s="13" t="str">
        <x:v>VC44</x:v>
      </x:c>
      <x:c r="B51" s="13" t="str">
        <x:v>本源量子</x:v>
      </x:c>
      <x:c r="C51" s="13" t="n">
        <x:v>7</x:v>
      </x:c>
      <x:c r="D51" s="13" t="str">
        <x:v>2017年，早期融资阶段。详见主表首轮信息，游戏进入年不必等于公司成立或首轮真实年份。</x:v>
      </x:c>
      <x:c r="E51" s="13" t="str">
        <x:v>成长待定。系统产品化先于广泛量子优势和成熟现金退出。</x:v>
      </x:c>
      <x:c r="F51" s="13" t="str">
        <x:v>高开高走；成长待定。标签不是未来成功概率或真实VC盈利率。</x:v>
      </x:c>
      <x:c r="G51" s="13" t="str">
        <x:v>长产业周期且无同口径终点，按成本持有1倍教学结算；未预测量子技术成败。</x:v>
      </x:c>
      <x:c r="H51" s="13" t="str">
        <x:v>卡片按所选进入阶段描述能力、客户或计划；后续融资、上市、经营挫折和新产品只写原型故事与复盘。未核月份不制造精确快照。</x:v>
      </x:c>
      <x:c r="I51" s="13" t="str">
        <x:v>用户v2《题库底稿》第7行
本项目历史题库资料（历史摘要，非本轮全部原文核验）
本轮重点事实依据，见链接及本行边界</x:v>
      </x:c>
      <x:c r="J51" s="56" t="str">
        <x:v>https://originqc.com.cn/</x:v>
      </x:c>
      <x:c r="K51" s="13" t="str">
        <x:v>补齐原型G、I、K和游戏E、H、J、L、M；使用中性代称，回报输入可追溯至假设。</x:v>
      </x:c>
    </x:row>
    <x:row r="52" ht="100" customHeight="1">
      <x:c r="A52" s="9" t="str">
        <x:v>VC45</x:v>
      </x:c>
      <x:c r="B52" s="9" t="str">
        <x:v>国仪量子</x:v>
      </x:c>
      <x:c r="C52" s="9"/>
      <x:c r="D52" s="9" t="str">
        <x:v>2018年，早期融资阶段。详见主表首轮信息，游戏进入年不必等于公司成立或首轮真实年份。</x:v>
      </x:c>
      <x:c r="E52" s="9" t="str">
        <x:v>正向参考。量子测量可以先通过仪器形成客户，上市事实不等于各轮回报。</x:v>
      </x:c>
      <x:c r="F52" s="9" t="str">
        <x:v>低开高走；正向参考。标签不是未来成功概率或真实VC盈利率。</x:v>
      </x:c>
      <x:c r="G52" s="9" t="str">
        <x:v>模拟精密测量仪器建立付费客户与产品线，估值6倍；不引用未核市值。</x:v>
      </x:c>
      <x:c r="H52" s="9" t="str">
        <x:v>卡片按所选进入阶段描述能力、客户或计划；后续融资、上市、经营挫折和新产品只写原型故事与复盘。未核月份不制造精确快照。</x:v>
      </x:c>
      <x:c r="I52" s="9" t="str">
        <x:v>本轮重点事实依据，见链接及本行边界
2026-10-14读取公司官网／页面；产品页面不作为估值证据</x:v>
      </x:c>
      <x:c r="J52" s="55" t="str">
        <x:v>https://www.ciqtek.com/</x:v>
      </x:c>
      <x:c r="K52" s="9" t="str">
        <x:v>补齐原型G、I、K和游戏E、H、J、L、M；使用中性代称，回报输入可追溯至假设。</x:v>
      </x:c>
    </x:row>
    <x:row r="53" ht="115" customHeight="1">
      <x:c r="A53" s="13" t="str">
        <x:v>VC46</x:v>
      </x:c>
      <x:c r="B53" s="13" t="str">
        <x:v>强脑科技</x:v>
      </x:c>
      <x:c r="C53" s="13" t="n">
        <x:v>6</x:v>
      </x:c>
      <x:c r="D53" s="13" t="str">
        <x:v>2015年，早期阶段。详见主表首轮信息，游戏进入年不必等于公司成立或首轮真实年份。</x:v>
      </x:c>
      <x:c r="E53" s="13" t="str">
        <x:v>成长待定。信号类型、交互产品与临床效果不能混为同一成功指标。</x:v>
      </x:c>
      <x:c r="F53" s="13" t="str">
        <x:v>高开高走；成长待定。标签不是未来成功概率或真实VC盈利率。</x:v>
      </x:c>
      <x:c r="G53" s="13" t="str">
        <x:v>产品类别与退出终点不可直接比较，教学按成本持有1倍；并不判断公司停滞。</x:v>
      </x:c>
      <x:c r="H53" s="13" t="str">
        <x:v>卡片按所选进入阶段描述能力、客户或计划；后续融资、上市、经营挫折和新产品只写原型故事与复盘。未核月份不制造精确快照。</x:v>
      </x:c>
      <x:c r="I53" s="13" t="str">
        <x:v>用户v2《题库底稿》第6行
本地横纵研究报告：2026-05-17-强脑科技-brainco-横纵分析报告.md（引用新闻未全部重访）
本轮重点事实依据，见链接及本行边界
2026-10-14读取公司官网／页面；产品页面不作为估值证据</x:v>
      </x:c>
      <x:c r="J53" s="56" t="str">
        <x:v>https://www.brainco.cn/
https://www.brainco.cn/en-US/about
https://www.brainco.cn/en-US/contact
https://www.brainco.cn/en-US/products/revo1
https://www.brainco.cn/en-US/news/b6yv48d2gg4tm8glwobox21o
https://www.worldrobotconference.com/profile/robot/download/2025/07/21/20250721112107000522_20250721112107A113.pdf</x:v>
      </x:c>
      <x:c r="K53" s="13" t="str">
        <x:v>补齐原型G、I、K和游戏E、H、J、L、M；使用中性代称，回报输入可追溯至假设。</x:v>
      </x:c>
    </x:row>
    <x:row r="54" ht="100" customHeight="1">
      <x:c r="A54" s="9" t="str">
        <x:v>VC47</x:v>
      </x:c>
      <x:c r="B54" s="9" t="str">
        <x:v>博睿康</x:v>
      </x:c>
      <x:c r="C54" s="9"/>
      <x:c r="D54" s="9" t="str">
        <x:v>2015年，早期融资阶段。详见主表首轮信息，游戏进入年不必等于公司成立或首轮真实年份。</x:v>
      </x:c>
      <x:c r="E54" s="9" t="str">
        <x:v>正向参考。具体设备客户帮助商业化，临床平台另需验证。</x:v>
      </x:c>
      <x:c r="F54" s="9" t="str">
        <x:v>低开高走；正向参考。标签不是未来成功概率或真实VC盈利率。</x:v>
      </x:c>
      <x:c r="G54" s="9" t="str">
        <x:v>模拟科研设备建立重复采购并拓展临床平台，估值5倍；为教学估值，未假定全部产品获批。</x:v>
      </x:c>
      <x:c r="H54" s="9" t="str">
        <x:v>卡片按所选进入阶段描述能力、客户或计划；后续融资、上市、经营挫折和新产品只写原型故事与复盘。未核月份不制造精确快照。</x:v>
      </x:c>
      <x:c r="I54" s="9" t="str">
        <x:v>本轮重点事实依据，见链接及本行边界
2026-10-14读取公司官网／页面；产品页面不作为估值证据</x:v>
      </x:c>
      <x:c r="J54" s="55" t="str">
        <x:v>https://www.neuracle.cn/</x:v>
      </x:c>
      <x:c r="K54" s="9" t="str">
        <x:v>补齐原型G、I、K和游戏E、H、J、L、M；使用中性代称，回报输入可追溯至假设。</x:v>
      </x:c>
    </x:row>
    <x:row r="55" ht="100" customHeight="1">
      <x:c r="A55" s="13" t="str">
        <x:v>VC48</x:v>
      </x:c>
      <x:c r="B55" s="13" t="str">
        <x:v>蓝箭航天</x:v>
      </x:c>
      <x:c r="C55" s="13"/>
      <x:c r="D55" s="13" t="str">
        <x:v>2016年，天使阶段。详见主表首轮信息，游戏进入年不必等于公司成立或首轮真实年份。</x:v>
      </x:c>
      <x:c r="E55" s="13" t="str">
        <x:v>成长待定。技术验证与发射经济性、盈利和退出有不同时间表。</x:v>
      </x:c>
      <x:c r="F55" s="13" t="str">
        <x:v>高开高走；成长待定。标签不是未来成功概率或真实VC盈利率。</x:v>
      </x:c>
      <x:c r="G55" s="13" t="str">
        <x:v>模拟发射能力验证后获得更多服务机会，估值8倍；成本、复用和退出仍未假定成熟。</x:v>
      </x:c>
      <x:c r="H55" s="13" t="str">
        <x:v>卡片按所选进入阶段描述能力、客户或计划；后续融资、上市、经营挫折和新产品只写原型故事与复盘。未核月份不制造精确快照。</x:v>
      </x:c>
      <x:c r="I55" s="13" t="str">
        <x:v>本轮重点事实依据，见链接及本行边界</x:v>
      </x:c>
      <x:c r="J55" s="56" t="str">
        <x:v>https://www.landspace.com/</x:v>
      </x:c>
      <x:c r="K55" s="13" t="str">
        <x:v>补齐原型G、I、K和游戏E、H、J、L、M；使用中性代称，回报输入可追溯至假设。</x:v>
      </x:c>
    </x:row>
    <x:row r="56" ht="100" customHeight="1">
      <x:c r="A56" s="9" t="str">
        <x:v>VC49</x:v>
      </x:c>
      <x:c r="B56" s="9" t="str">
        <x:v>银河航天</x:v>
      </x:c>
      <x:c r="C56" s="9"/>
      <x:c r="D56" s="9" t="str">
        <x:v>2018年，天使阶段。详见主表首轮信息，游戏进入年不必等于公司成立或首轮真实年份。</x:v>
      </x:c>
      <x:c r="E56" s="9" t="str">
        <x:v>成长待定。卫星制造与网络运营分别验证，避免只用发射数量判断成功。</x:v>
      </x:c>
      <x:c r="F56" s="9" t="str">
        <x:v>高开高走；成长待定。标签不是未来成功概率或真实VC盈利率。</x:v>
      </x:c>
      <x:c r="G56" s="9" t="str">
        <x:v>缺同口径进入估值与退出终点，按成本持有1倍教学结算；不否定卫星研制与交付进展。</x:v>
      </x:c>
      <x:c r="H56" s="9" t="str">
        <x:v>卡片按所选进入阶段描述能力、客户或计划；后续融资、上市、经营挫折和新产品只写原型故事与复盘。未核月份不制造精确快照。</x:v>
      </x:c>
      <x:c r="I56" s="9" t="str">
        <x:v>本轮重点事实依据，见链接及本行边界
2026-10-14读取公司官网／页面；产品页面不作为估值证据</x:v>
      </x:c>
      <x:c r="J56" s="55" t="str">
        <x:v>https://www.yinhehangtian.cn/</x:v>
      </x:c>
      <x:c r="K56" s="9" t="str">
        <x:v>补齐原型G、I、K和游戏E、H、J、L、M；使用中性代称，回报输入可追溯至假设。</x:v>
      </x:c>
    </x:row>
    <x:row r="57" ht="100" customHeight="1">
      <x:c r="A57" s="13" t="str">
        <x:v>VC50</x:v>
      </x:c>
      <x:c r="B57" s="13" t="str">
        <x:v>维珍轨道（Virgin Orbit）</x:v>
      </x:c>
      <x:c r="C57" s="13"/>
      <x:c r="D57" s="13" t="str">
        <x:v>2021年，SPAC上市交易阶段。详见主表首轮信息，游戏进入年不必等于公司成立或首轮真实年份。</x:v>
      </x:c>
      <x:c r="E57" s="13" t="str">
        <x:v>重大挫折。品牌和技术能力具备，发射频次与固定成本仍可能无法平衡。</x:v>
      </x:c>
      <x:c r="F57" s="13" t="str">
        <x:v>高开低走；重大挫折。标签不是未来成功概率或真实VC盈利率。</x:v>
      </x:c>
      <x:c r="G57" s="13" t="str">
        <x:v>破产保护、资产拍卖后停运的普通股零回收教学情景；实际分配未核，不用资产卖价计算股权收益。</x:v>
      </x:c>
      <x:c r="H57" s="13" t="str">
        <x:v>卡片按所选进入阶段描述能力、客户或计划；后续融资、上市、经营挫折和新产品只写原型故事与复盘。未核月份不制造精确快照。</x:v>
      </x:c>
      <x:c r="I57" s="13" t="str">
        <x:v>本轮重点事实依据，见链接及本行边界</x:v>
      </x:c>
      <x:c r="J57" s="56" t="str">
        <x:v>https://www.cnbc.com/2023/05/23/virgin-orbit-bankruptcy-sale-rocket-lab-stratolaunch-vasts-launcher.html</x:v>
      </x:c>
      <x:c r="K57" s="13" t="str">
        <x:v>补齐原型G、I、K和游戏E、H、J、L、M；使用中性代称，回报输入可追溯至假设。</x:v>
      </x:c>
    </x:row>
  </x:sheetData>
  <x:mergeCells>
    <x:mergeCell ref="A1:K1"/>
    <x:mergeCell ref="A2:K2"/>
    <x:mergeCell ref="A3:K3"/>
    <x:mergeCell ref="A4:K4"/>
    <x:mergeCell ref="A5:K5"/>
  </x:mergeCells>
  <x:pageMargins left="0.7" right="0.7" top="0.75" bottom="0.75" header="0.3" footer="0.3"/>
  <x:tableParts count="1">
    <x:tablePart xmlns:r="http://schemas.openxmlformats.org/officeDocument/2006/relationships" r:id="R984b6a02581e4647"/>
  </x:tableParts>
</x:worksheet>
</file>