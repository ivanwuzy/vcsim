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660"/>
  </bookViews>
  <sheets>
    <sheet name="题库底稿" sheetId="1" r:id="rId1"/>
    <sheet name="回报测算" sheetId="2" r:id="rId2"/>
    <sheet name="资料口径" sheetId="3" r:id="rId3"/>
  </sheets>
  <definedNames>
    <definedName name="_xlnm._FilterDatabase" localSheetId="1" hidden="1">回报测算!$A$6:$R$56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<sst xmlns="http://schemas.openxmlformats.org/spreadsheetml/2006/main" count="1698" uniqueCount="1169">
  <si>
    <t>项目原型简称</t>
  </si>
  <si>
    <t>游戏内项目代称</t>
  </si>
  <si>
    <t>所在领域</t>
  </si>
  <si>
    <t>标记</t>
  </si>
  <si>
    <t>一句话定位</t>
  </si>
  <si>
    <t>游戏进入年份</t>
  </si>
  <si>
    <t>真实团队原型故事</t>
  </si>
  <si>
    <t>游戏内团队一句话介绍</t>
  </si>
  <si>
    <t>真实团队技术故事</t>
  </si>
  <si>
    <t>游戏内技术亮点一句话介绍</t>
  </si>
  <si>
    <t>真实团队商业化故事</t>
  </si>
  <si>
    <t>游戏内一句话商业化亮点</t>
  </si>
  <si>
    <t>项目风险点</t>
  </si>
  <si>
    <t>进入估值/首轮信息</t>
  </si>
  <si>
    <t>终点估值/最新信息</t>
  </si>
  <si>
    <t>游戏内投资回报</t>
  </si>
  <si>
    <t>优必选</t>
  </si>
  <si>
    <t>启行机器人</t>
  </si>
  <si>
    <t>具身本体与模型</t>
  </si>
  <si>
    <t>V4正式题库</t>
  </si>
  <si>
    <t>能编排舞蹈、体操的小型消费人形机器人。</t>
  </si>
  <si>
    <t>周剑具有工业设备创业经历，早期长期投入伺服系统，2012年成立优必选。团队由关节工程延伸到小型人形产品及行业方案。</t>
  </si>
  <si>
    <t>工业设备创业者跨行创业，曾自费研发关节多年。</t>
  </si>
  <si>
    <t>先积累伺服驱动、运动控制和机器人产品，再拓展大型人形与工业任务。不同尺寸的机构与安全要求并不自动通用。</t>
  </si>
  <si>
    <t>自研伺服关节与控制，驱动多关节连贯运动。</t>
  </si>
  <si>
    <t>教育和消费机器人形成早期产品入口，随后拓展服务及工业人形场景，2023年在香港上市。上市、订单、盈利和各轮投资回报须分别判断。</t>
  </si>
  <si>
    <t>从消费和展示需求切入，销售标准化小型整机。</t>
  </si>
  <si>
    <t>跳舞的新鲜感过后，编程玩法能留住用户吗？</t>
  </si>
  <si>
    <r>
      <rPr>
        <sz val="10"/>
        <color rgb="FF172233"/>
        <rFont val="宋体-简"/>
        <charset val="134"/>
      </rPr>
      <t>首轮估值按</t>
    </r>
    <r>
      <rPr>
        <sz val="10"/>
        <color rgb="FF172233"/>
        <rFont val="Arial"/>
        <charset val="134"/>
      </rPr>
      <t>1</t>
    </r>
    <r>
      <rPr>
        <sz val="10"/>
        <color rgb="FF172233"/>
        <rFont val="宋体-简"/>
        <charset val="134"/>
      </rPr>
      <t>亿计算</t>
    </r>
  </si>
  <si>
    <t>2023年香港上市（09880）；2026-10-15 15:11:07盘中股价63.05港元、总股本503401373，总市值317.3946亿港元。按HKD/CNY=0.8570，折合约272.0071亿元人民币。</t>
  </si>
  <si>
    <r>
      <rPr>
        <sz val="10"/>
        <color rgb="FF172233"/>
        <rFont val="宋体-简"/>
        <charset val="134"/>
      </rPr>
      <t>回报倍数近似取</t>
    </r>
    <r>
      <rPr>
        <sz val="10"/>
        <color rgb="FF172233"/>
        <rFont val="Arial"/>
        <charset val="134"/>
      </rPr>
      <t>300</t>
    </r>
    <r>
      <rPr>
        <sz val="10"/>
        <color rgb="FF172233"/>
        <rFont val="宋体-简"/>
        <charset val="134"/>
      </rPr>
      <t>倍</t>
    </r>
  </si>
  <si>
    <t>大疆创新</t>
  </si>
  <si>
    <t>稳翼科技</t>
  </si>
  <si>
    <t>其他机器人</t>
  </si>
  <si>
    <t>集成飞控、相机和云台，降低航拍门槛。</t>
  </si>
  <si>
    <t>汪滔在香港科技大学求学期间钻研飞控，2006年创办大疆，从小团队与飞行稳定模块起步，后续补齐产品和制造组织。</t>
  </si>
  <si>
    <t>飞控研发出身，团队已走向整机制造和海外销售。</t>
  </si>
  <si>
    <t>从飞控扩展到云台、整机与图传，系统协同降低航拍使用门槛。飞行控制、相机稳定和整机可靠性共同形成产品价值。</t>
  </si>
  <si>
    <t>飞控、云台与图传协同，实现稳定飞行和实时取景。</t>
  </si>
  <si>
    <t>先服务专业与航模用户，后续以一体航拍产品进入消费市场，并扩展行业应用。公开市场地位不是精确股权退出记录。</t>
  </si>
  <si>
    <t>已进入摄影与影视，正拓展农业、测绘和海外市场。</t>
  </si>
  <si>
    <t>大众航拍需求，能支撑销售和售后扩张吗？</t>
  </si>
  <si>
    <t>估值按20亿计算</t>
  </si>
  <si>
    <r>
      <rPr>
        <sz val="10"/>
        <color rgb="FF172233"/>
        <rFont val="宋体-简"/>
        <charset val="134"/>
      </rPr>
      <t>最新估值按</t>
    </r>
    <r>
      <rPr>
        <sz val="10"/>
        <color rgb="FF172233"/>
        <rFont val="Arial"/>
        <charset val="134"/>
      </rPr>
      <t>2500</t>
    </r>
    <r>
      <rPr>
        <sz val="10"/>
        <color rgb="FF172233"/>
        <rFont val="宋体-简"/>
        <charset val="134"/>
      </rPr>
      <t>亿计算</t>
    </r>
  </si>
  <si>
    <t>群核科技</t>
  </si>
  <si>
    <t>空间云图</t>
  </si>
  <si>
    <t>AI infra与数据</t>
  </si>
  <si>
    <t>在线设计家装，快速生成3D装修效果图。</t>
  </si>
  <si>
    <t>黄晓煌、陈航、朱皓等图形计算与软件工程背景成员在2011年创办群核。其产品从室内设计师的建模、渲染和沟通需求切入。</t>
  </si>
  <si>
    <t>浙大、美国UIUC背景的计算机团队，从硅谷回国创业。</t>
  </si>
  <si>
    <t>空间建模、云渲染和设计协作构成早期技术路径。设计资产、空间数据和机器人训练数据的可用性需要分别验证。</t>
  </si>
  <si>
    <t>云端并行渲染，主打10秒出图。</t>
  </si>
  <si>
    <t>以设计师、家居商家和设计公司为客户，软件订阅和企业服务是不同收入形态。</t>
  </si>
  <si>
    <t>免费吸引业主和设计师，探索向家居品牌商收费。</t>
  </si>
  <si>
    <t>装修频次低，免费流量能换来品牌商持续付费吗？</t>
  </si>
  <si>
    <r>
      <rPr>
        <sz val="10"/>
        <color rgb="FF172233"/>
        <rFont val="宋体-简"/>
        <charset val="134"/>
      </rPr>
      <t>最新市值</t>
    </r>
    <r>
      <rPr>
        <sz val="10"/>
        <color rgb="FF172233"/>
        <rFont val="Arial"/>
        <charset val="134"/>
      </rPr>
      <t>70</t>
    </r>
    <r>
      <rPr>
        <sz val="10"/>
        <color rgb="FF172233"/>
        <rFont val="宋体-简"/>
        <charset val="134"/>
      </rPr>
      <t>亿</t>
    </r>
  </si>
  <si>
    <t>云迹机器人</t>
  </si>
  <si>
    <t>楼行科技</t>
  </si>
  <si>
    <t>研发室内送物机器人，瞄准酒店等楼宇的跑腿任务。</t>
  </si>
  <si>
    <t>云迹2014年成立，早期团队围绕传感器、移动机器人和服务场景研发。胡泉及支涛等参与公司的创业和经营；早期工商股东与后续经营团队身份需分别理解。</t>
  </si>
  <si>
    <t>传感器与自动化团队，从室内定位导航创业。</t>
  </si>
  <si>
    <t>自主导航、环境感知与楼宇设备连接组成酒店送物系统。后续由单一送物机器人扩展复合多态机器人和AI数字化系统；2014年不能提前宣称这些成熟产品均已存在。</t>
  </si>
  <si>
    <t>在无GPS的室内定位，自主规划路线和避障。</t>
  </si>
  <si>
    <t>2015年推出酒店机器人，逐步形成酒店送物入口，后续扩展医院和工厂。2021年D轮投后40.8亿元，2025年港股上市。</t>
  </si>
  <si>
    <t>拟从楼宇送物切入，以节省员工时间争取付费。</t>
  </si>
  <si>
    <t>若开门、乘梯仍要人帮，能省多少人力？</t>
  </si>
  <si>
    <t>2014-07天使融资750万元，安徽人工智能公司及北京洋葱参投；未核实当轮投后估值。2017年有腾讯、海航等参与A轮。</t>
  </si>
  <si>
    <t>2021-12 D轮融资5.8亿元、投后40.8亿元；2026-10-15约14:54港股02670市值46.8085亿港元，折40.114885亿元人民币。</t>
  </si>
  <si>
    <t>估值资料待补：本题暂不进入自动结算。</t>
  </si>
  <si>
    <t>珞石机器人</t>
  </si>
  <si>
    <t>精控科技</t>
  </si>
  <si>
    <t>为国产工业机械臂提供运动控制系统。</t>
  </si>
  <si>
    <t>庹华有哈尔滨理工大学及北京大学电子与通信工程学习背景、工业机器人从业经验；与曹华、韩峰涛共同创业。2014年12月注册、2015年正式运营，从控制系统研发切入。</t>
  </si>
  <si>
    <t>三位央企机器人研发工程师，分工编程、驱动和算法。</t>
  </si>
  <si>
    <t>创业初期研发运动控制系统，2016年推出搭载自研控制器的XB-6机器人，随后拓展工业机器人、柔性协作机器人。控制算法、驱控和机械系统的联调是产品基础。</t>
  </si>
  <si>
    <t>自研算法和控制器，兼顾运动速度与定位精度。</t>
  </si>
  <si>
    <t>先尝试向机器人本体厂提供控制系统，再拓展整机；后续在山东邹城建设制造能力、扩展工业客户。2025年最后一轮投后52.95亿元，2026年已港股上市。</t>
  </si>
  <si>
    <t>面向本体厂，切入进口控制器贵、定制维护难的需求。</t>
  </si>
  <si>
    <t>控制器单价低，逐家适配调试还能留下多少利润？</t>
  </si>
  <si>
    <t>2015年前后梅花创投天使投资。投中网2025-10-30称独家190万元；旧融资数据库称2015-07融资380万元、两家参投。首轮投后估值和两口径差异未直接核实。</t>
  </si>
  <si>
    <t>2025-06最后一轮融资1.95亿元、投后52.95亿元；已上市主体2026-10-15约14:53市值129.9386亿港元，折111.35738亿元人民币。</t>
  </si>
  <si>
    <t>越疆机器人</t>
  </si>
  <si>
    <t>轻臂科技</t>
  </si>
  <si>
    <t>面向创客与教学，研发可编程的桌面机械臂。</t>
  </si>
  <si>
    <t>刘培超具有山东大学机械研究背景，2015年创办越疆，团队从轻型桌面机械臂逐步扩展到协作机器人。</t>
  </si>
  <si>
    <t>山东大学校友与中科院背景成员共研机械臂。</t>
  </si>
  <si>
    <t>研发控制器、整机及应用接口，形成多个负载和应用系列。协作安全、精度与寿命需要在不同场景验证。</t>
  </si>
  <si>
    <t>把小型机械臂与多种操控接口整合成桌面产品。</t>
  </si>
  <si>
    <t>早期借教育、开发者和轻型自动化需求形成产品销售，再扩展工业渠道与海外市场，2024年在香港上市。设备毛利须结合集成和售后成本看。</t>
  </si>
  <si>
    <t>以海外众筹触达创客，验证桌面机械臂需求。</t>
  </si>
  <si>
    <t>演示用途之外，可靠性与任务适配能否支撑复购？</t>
  </si>
  <si>
    <t>天使投资方同道齐创、道生资本、深创投、君溢创投等，投后1.5亿元；2022年末投后35.31亿元。</t>
  </si>
  <si>
    <t>腾讯行情2026-10-15约14:54市值72.5046亿港元，按当日中间价0.8570折人民币</t>
  </si>
  <si>
    <t>公开估值/市值计算：41.42倍，未计后续稀释、优先权、税费和流动性折价。</t>
  </si>
  <si>
    <t>石头科技</t>
  </si>
  <si>
    <t>循迹清洁</t>
  </si>
  <si>
    <t>用激光建图与路径规划，让家用扫地机有序清扫。</t>
  </si>
  <si>
    <t>昌敬具有软件及互联网产品开发经历，2014年创办石头科技。团队将导航软件能力与清洁硬件、供应链工程结合。</t>
  </si>
  <si>
    <t>百度软件产品骨干创业，正在补齐硬件研发能力。</t>
  </si>
  <si>
    <t>以激光导航和路径规划提升清扫覆盖，再持续改进拖地、基站和维护体验。算法与机械结构共同决定家庭环境中的可用性。</t>
  </si>
  <si>
    <t>围绕激光测距与定位建图，研发规划式清扫系统。</t>
  </si>
  <si>
    <t>借生态渠道推出早期产品，随后发展自有品牌及海外渠道，2020年科创板上市。渠道资源帮助启动，品牌投入与售后能力支撑扩张。</t>
  </si>
  <si>
    <t>借消费电子生态的供应链与渠道，筹备首款扫地机。</t>
  </si>
  <si>
    <t>软件团队跨入硬件，量产可靠性与成本能否同时达标？</t>
  </si>
  <si>
    <t>2015-03投后约4380万元，低于5000万元门槛；2016年顺为资本早期定价轮投后14.82亿元。</t>
  </si>
  <si>
    <t>2026-10-15收盘价103.10元×总股本259567776股=267.614377亿元。</t>
  </si>
  <si>
    <t>公开估值/市值计算：18.06倍，采用首个满足5000万元门槛的早期定价轮。</t>
  </si>
  <si>
    <t>纵目科技</t>
  </si>
  <si>
    <t>泊行科技</t>
  </si>
  <si>
    <t>自动驾驶</t>
  </si>
  <si>
    <t>用环视视觉辅助泊车，兼顾盲区与移动障碍预警。</t>
  </si>
  <si>
    <t>唐锐有汽车电子和技术创业经历，2013年创办纵目科技。团队选择泊车这一低速、边界相对明确的场景开始产品验证。</t>
  </si>
  <si>
    <t>前汽车半导体研发总监带队，聚焦环视视觉算法。</t>
  </si>
  <si>
    <t>产品组合包括摄像头感知、车端计算和泊车控制。低速泊车成功不等于可以直接复制到开放道路自动驾驶。</t>
  </si>
  <si>
    <t>在环视平台整合全景泊车、盲区与移动物体检测。</t>
  </si>
  <si>
    <t>公司与车企开展车型项目合作，但研发周期、客户回款和融资节奏会影响持续经营。公开司法重整线索只表明存在法律程序风险，不能等同于普通股已清零。</t>
  </si>
  <si>
    <t>向汽车一级供应商授权环视算法，切入前装市场。</t>
  </si>
  <si>
    <t>授权模式依赖一级供应商，能否掌握车型项目入口？</t>
  </si>
  <si>
    <t>首轮融资的日期、金额和投后估值未在本轮公开材料中核到。</t>
  </si>
  <si>
    <t>公开资料有司法重整线索，但截至截止日未取得经法院确认的普通股清偿率或完整债权分配结果。</t>
  </si>
  <si>
    <t>地平线</t>
  </si>
  <si>
    <t>车芯科技</t>
  </si>
  <si>
    <t>芯片</t>
  </si>
  <si>
    <t>为智能设备研发低功耗深度学习芯片与算法方案。</t>
  </si>
  <si>
    <t>余凯有机器学习研究和百度深度学习团队管理经历，2015年创办地平线。创业团队将算法研究、芯片架构和车规工程组织在一起。</t>
  </si>
  <si>
    <t>百度深度学习团队骨干联合芯片架构师创业。</t>
  </si>
  <si>
    <t>公司开发车端AI计算架构、芯片和工具链。模型准确率、能耗、功能安全和车企软件集成缺一不可。</t>
  </si>
  <si>
    <t>让深度学习算法与专用计算架构协同设计。</t>
  </si>
  <si>
    <t>公司以车企定点和量产出货形成商业入口，2024年在香港上市。定点数量和股权回报不是同一个指标，结算使用明确的股价和股本口径。</t>
  </si>
  <si>
    <t>瞄准家电与机器人厂商，计划提供嵌入式智能方案。</t>
  </si>
  <si>
    <t>自研芯片投入高，终端销量能否摊薄研发与流片成本？</t>
  </si>
  <si>
    <t>2017-09 A1轮投后5亿美元，折人民币约33.2592亿元。</t>
  </si>
  <si>
    <t>2026-10-15市值607.99亿港元，折人民币约518.49亿元。</t>
  </si>
  <si>
    <t>公开估值/市值计算：15.59倍。</t>
  </si>
  <si>
    <t>强脑科技</t>
  </si>
  <si>
    <t>意行科技</t>
  </si>
  <si>
    <t>脑机与神经技术</t>
  </si>
  <si>
    <t>研发脑电头环，把注意力相关信号转成设备交互。</t>
  </si>
  <si>
    <t>韩璧丞具有脑科学研究背景，2015年创办BrainCo强脑。团队需要同时处理传感器、算法、硬件和具体产品场景。</t>
  </si>
  <si>
    <t>哈佛与麻省理工研究背景团队，研发脑电可穿戴设备。</t>
  </si>
  <si>
    <t>早期围绕脑电等可穿戴信号采集与算法识别探索产品。信号采集、算法判别和设备控制是不同环节。</t>
  </si>
  <si>
    <t>以非侵入式脑电采集配合反馈，探索注意力训练。</t>
  </si>
  <si>
    <t>早期在研究、训练和交互产品中寻找客户，医疗用途、康复效果和消费电子产品能力须分别验证。</t>
  </si>
  <si>
    <t>从注意力训练切入，探索消费级脑电头环的需求。</t>
  </si>
  <si>
    <t>脑电变化不等于注意力改善，训练效果能否独立验证？</t>
  </si>
  <si>
    <t>2019年A轮后估值4亿美元（投前/投后待核）。</t>
  </si>
  <si>
    <t>2026-03估值超120亿元人民币，折超16.7亿美元。</t>
  </si>
  <si>
    <t>估值下限计算：超过4.18倍。</t>
  </si>
  <si>
    <t>博睿康</t>
  </si>
  <si>
    <t>神经工坊</t>
  </si>
  <si>
    <t>为脑科学研究提供自主研发的脑电信号采集设备。</t>
  </si>
  <si>
    <t>博睿康于2011年创办，团队结合神经科学、电子工程和仪器产品研发，面向科研与医疗研究场景提供信号采集系统。</t>
  </si>
  <si>
    <t>清华神经工程实验室走出的团队，长期钻研脑电采集。</t>
  </si>
  <si>
    <t>早期产品关注采集硬件、同步、噪声与实验软件。无创、微创和植入式系统有不同信号来源与监管要求。</t>
  </si>
  <si>
    <t>前端数字化采集弱脑电，围绕低噪声与抗干扰优化。</t>
  </si>
  <si>
    <t>先向高校、医院和研究机构销售设备及服务，再探索临床合作；科研设备、临床试验与获批商业化不能混为一谈。</t>
  </si>
  <si>
    <t>拟从高校科研设备切入，以信号质量争取采购。</t>
  </si>
  <si>
    <t>科研采购规模有限，设备收入能否覆盖研发与服务？</t>
  </si>
  <si>
    <t>首轮公开融资日期、金额、投后估值尚未核到。</t>
  </si>
  <si>
    <t>截至截止日未核到同主体可复算的最新投后估值或公开市值。</t>
  </si>
  <si>
    <t>宇树科技</t>
  </si>
  <si>
    <t>野行科技</t>
  </si>
  <si>
    <t>研发低成本电驱四足机器人，供科研人员二次开发。</t>
  </si>
  <si>
    <t>王兴兴从浙江理工大学本科、上海大学机械硕士阶段积累机电与四足控制经验。学生时期自制电驱四足原型，2016年创办宇树，以小团队做可出售的整机。</t>
  </si>
  <si>
    <t>机械硕士出身的技术创始人，学生时代已做出四足原型。</t>
  </si>
  <si>
    <t>早期选择电驱四足路线，自研电机、驱动和控制系统，持续压低机电成本。后续由四足研发平台扩展到人形本体，控制与量产工程相互迭代。</t>
  </si>
  <si>
    <t>用电驱动和直接力控路线，减少机械复杂度与成本。</t>
  </si>
  <si>
    <t>先通过高校、科研与开发者市场销售四足机器人，再扩大海外销售和行业应用，后续人形产品带来更广关注。产品、营收和资本估值是不同证据。</t>
  </si>
  <si>
    <t>计划先卖给科研机构，以开放平台承接二次开发需求。</t>
  </si>
  <si>
    <t>科研市场能否支撑整机研发，低成本路线又能跑多稳？</t>
  </si>
  <si>
    <t>2016年获得尹方鸣200万元天使投资；公开媒体与后续上市检索对股权比例存在15%/20%口径差异，未直接核到招股书历史交易页。200万元是投资额。</t>
  </si>
  <si>
    <t>保留用户确认1035倍；本批未取得与其对应的末轮估值或退出日，不用当前市值反推凑数。</t>
  </si>
  <si>
    <t>用户人工确认：1035.00倍，未计后续稀释、优先权、税费和流动性折价。</t>
  </si>
  <si>
    <t>极智嘉</t>
  </si>
  <si>
    <t>货伴科技</t>
  </si>
  <si>
    <t>用搬运机器人把货架送到拣货员面前，减少人找货。</t>
  </si>
  <si>
    <t>郑勇具有工程及产业管理背景，2015年创办极智嘉。团队从仓储自动化任务出发，连接机器人、软件与项目交付。</t>
  </si>
  <si>
    <t>清华算法教师与工厂运营经理联合创业，兼顾研发和交付。</t>
  </si>
  <si>
    <t>移动搬运机器人与集群调度、仓储软件协同，后续扩展不同货物及工作流。单机速度不能替代整仓吞吐与可用率。</t>
  </si>
  <si>
    <t>货架搬运机器人配合群体调度，让多机协同完成拣货。</t>
  </si>
  <si>
    <t>2015年创办、2016年A1轮后推进仓储履约机器人与系统交付，随后进入海外市场；2025年港股上市。游戏卡片采用2016年所知的仓储场景，后续上市只写复盘。</t>
  </si>
  <si>
    <t>从电商仓库切入，按货到人的拣选流程交付整套系统。</t>
  </si>
  <si>
    <t>旺季必须稳定运行，现场调试与回款能否跟上扩张？</t>
  </si>
  <si>
    <t>据招股书，2016年A1轮融资4250万元、投后估值2.1亿元；2022-12 E1轮投后150亿元。</t>
  </si>
  <si>
    <t>腾讯行情2026-10-15约14:54市值76.7254亿港元，按当日中间价0.8570折人民币</t>
  </si>
  <si>
    <t>公开估值/市值计算：31.31倍，未计后续稀释、优先权、税费和流动性折价。</t>
  </si>
  <si>
    <t>普渡科技</t>
  </si>
  <si>
    <t>餐途机器人</t>
  </si>
  <si>
    <t>用室内配送机器人承担餐厅传菜，减少反复跑腿。</t>
  </si>
  <si>
    <t>张涛于2016年创办普渡，团队从机器人工程和室内配送需求切入，持续建设整机、软件和渠道能力。</t>
  </si>
  <si>
    <t>机器人工程团队聚焦室内导航与餐厅传菜需求。</t>
  </si>
  <si>
    <t>由室内配送的定位、避障与调度扩展到清洁及其他商用任务。产品需应对人流、地面、布局和维护条件的变化。</t>
  </si>
  <si>
    <t>用定位基站与路径规划，实现无需铺地轨的送餐。</t>
  </si>
  <si>
    <t>由餐饮配送切入，逐步扩展商用清洁、工业配送及具身智能。2026-04宣布近10亿元融资、估值突破100亿元。此为公司融资披露，不是已退出回报。</t>
  </si>
  <si>
    <t>聚焦中大型餐厅的传菜环节，用节省的跑腿时间算账。</t>
  </si>
  <si>
    <t>顾客遮挡、过道拥挤时，能否保持通行又不洒菜？</t>
  </si>
  <si>
    <t>2016年前后获得长盈鑫等天使投资（长盈鑫是长盈精密关联方，上市公司本身未直接投资）；2018-06 A轮5000万元，启创资本领投、榕泉资本等跟投。首轮投后估值未披露。</t>
  </si>
  <si>
    <t>2026-04-23完成近10亿元E轮融资，公司称投后估值突破100亿元人民币；官网称累计融资超过20亿元。</t>
  </si>
  <si>
    <t>梅卡曼德</t>
  </si>
  <si>
    <t>机臂视界</t>
  </si>
  <si>
    <t>核心部件</t>
  </si>
  <si>
    <t>为工业机械臂研发三维视觉，让乱放的零件也能抓取。</t>
  </si>
  <si>
    <t>邵天兰具有清华与德国机器人研发背景，2016年创办梅卡曼德。团队将工业视觉和机器人算法组合成面向集成商的产品。</t>
  </si>
  <si>
    <t>清华背景的海归创始人，赴德国研究机器人后回国创业。</t>
  </si>
  <si>
    <t>从3D相机、位姿识别与运动规划切入，减少无序抓取的工位编程负担。标准组件仍需处理反光、遮挡与不同末端执行器。</t>
  </si>
  <si>
    <t>尝试将三维识别与运动规划结合，减少抓取工位编程。</t>
  </si>
  <si>
    <t>通过自动化集成商交付无序抓取、拆码垛等工厂项目，组件销售与伙伴网络帮助复制。用户100亿元为人工终点；另有2026-09-01港股上市报道，与用户基准分开记录。</t>
  </si>
  <si>
    <t>计划借助自动化集成商，把视觉抓取方案带进工厂。</t>
  </si>
  <si>
    <t>零件差异带来现场调试，标准产品能否覆盖交付成本？</t>
  </si>
  <si>
    <t>人工基准：2016年天使轮投后估值1600万元，即0.16亿元人民币；交易原文待补证。</t>
  </si>
  <si>
    <t>用户选定100亿元人民币估值终点继续沿用。2026-09-02投资界转载报道其9月1日在港交所上市、发行价101.7港元，开盘市值超120亿港元；不把开盘港元市值直接当作用户人民币估值。</t>
  </si>
  <si>
    <t>用户人工确认：625.00倍，未计后续稀释、优先权、税费和流动性折价。</t>
  </si>
  <si>
    <t>禾赛科技</t>
  </si>
  <si>
    <t>光域传感</t>
  </si>
  <si>
    <t>研发自动驾驶激光雷达，把周围环境转成三维点云。</t>
  </si>
  <si>
    <t>李一帆、孙恺与向少卿于2014年创办禾赛，团队覆盖海外研究、光学、电子及工程能力。早期技术探索逐渐转向激光雷达产品。</t>
  </si>
  <si>
    <t>海外高校与研发机构背景，团队覆盖光学、机械和电子。</t>
  </si>
  <si>
    <t>将测距、光机电结构与校准工艺产品化，再向车规量产和集成设计迭代。研发雷达与量产雷达的成本及质量要求不同。</t>
  </si>
  <si>
    <t>将激光遥测经验转向多线测距，兼顾精度与交付成本。</t>
  </si>
  <si>
    <t>从自动驾驶研发等客户扩展到车企量产，2023年赴美上市。出货、客户定点和上市是阶段证据，价格压力与毛利仍需看。</t>
  </si>
  <si>
    <t>切入自动驾驶研发传感需求，以国产雷达争取进口替代。</t>
  </si>
  <si>
    <t>研发客户体量有限，雷达成本能否随产量下降？</t>
  </si>
  <si>
    <t>2017-05-10公开A轮融资1.1亿元人民币，Pagoda Investment领投、将门等跟投；融资额不等于投后估值。更早融资估值未取得，原表2016仅产品起步年。</t>
  </si>
  <si>
    <t>2026-10-14美股收盘13.94美元，腾讯口径全部股权市值21.90562亿美元。2025年9月港股上市与美股是同一主体，不将两市场市值相加。</t>
  </si>
  <si>
    <t>绿的谐波</t>
  </si>
  <si>
    <t>精衡传动</t>
  </si>
  <si>
    <t>为工业机器人开发国产谐波减速器，提供精密关节传动。</t>
  </si>
  <si>
    <t>左昱昱、左晶团队依托精密制造积累开展谐波传动研发，绿的谐波主体于2011年设立。其“低开”指窄部件和长期工艺起步。</t>
  </si>
  <si>
    <t>长期深耕精密传动研发，兼具减速器设计与制造积累。</t>
  </si>
  <si>
    <t>谐波传动依赖齿形、柔轮、材料及加工控制，精度与疲劳寿命需同步验证。制造能力是持续累积的壁垒。</t>
  </si>
  <si>
    <t>以低背隙、多齿啮合设计，提高机器人关节传动精度。</t>
  </si>
  <si>
    <t>先从机器人厂商导入与批量采购形成市场，2020年科创板上市。终端机器人景气会影响订单，产品导入和客户黏性支撑收入。</t>
  </si>
  <si>
    <t>多系列减速器面向机器人厂家，提供国产关节传动选项。</t>
  </si>
  <si>
    <t>高精核心零部件的国产替代，是否能被主流市场接纳？</t>
  </si>
  <si>
    <t>2014年谱润投资入股已有媒体记录但估值未核。本次采用招股书已核2018-11-15增资：三峡金石、方广资本、中信并购基金合计2.5亿元，认购531.25万股，增资后9031.25万股；精确股份比例推算投后42.5亿元。</t>
  </si>
  <si>
    <t>2026-10-15收盘234.00元，总股本183,330,125股，全部股权市值428.99249亿元。</t>
  </si>
  <si>
    <t>公开估值/市值计算：10.09倍，未计后续稀释、优先权、税费和流动性折价。</t>
  </si>
  <si>
    <t>Momenta</t>
  </si>
  <si>
    <t>路衡智能</t>
  </si>
  <si>
    <t>用深度学习研发环境感知、地图与驾驶决策软件。</t>
  </si>
  <si>
    <t>曹旭东有清华、微软研究院和AI企业研发经历，2016年创办Momenta。团队从计算机视觉与数据驱动路线切入汽车软件。</t>
  </si>
  <si>
    <t>清华、微软履历图像识别研究团队创业</t>
  </si>
  <si>
    <t>公司以数据闭环、感知和规划算法服务量产辅助驾驶，同时推进无人驾驶研发。算法演示、车规可靠性和安全责任边界需分别验证。</t>
  </si>
  <si>
    <t>以深度学习结合视觉感知与高精地图，研发驾驶决策。</t>
  </si>
  <si>
    <t>早期通过车企联合开发获取数据和车型入口，后续获得多家整车厂与零部件企业投资。定点、出货和可持续软件收入不能混为一谈。</t>
  </si>
  <si>
    <t>面向车厂与供应商提供驾驶算法，争取车端产品化入口。</t>
  </si>
  <si>
    <t>识别算法优势能否跨越长尾路况，成为车厂可量产方案？</t>
  </si>
  <si>
    <t>2018年公开估值超过10亿美元，取10亿美元下限。</t>
  </si>
  <si>
    <t>2026-10-15市值374.27亿港元，折约48亿美元。</t>
  </si>
  <si>
    <t>按入口下限计算：低于4.80倍。</t>
  </si>
  <si>
    <t>蓝箭航天</t>
  </si>
  <si>
    <t>燃舟航天</t>
  </si>
  <si>
    <t>商业航天</t>
  </si>
  <si>
    <t>研发商业运载火箭，为低轨卫星规划发射服务。</t>
  </si>
  <si>
    <t>张昌武2015年创办蓝箭，团队聚集航天工程、制造和运营人员。张昌武承担产业组织角色，吴树范负责技术与工程方向。</t>
  </si>
  <si>
    <t>体制内航天骨干与金融背景创业者协作，整合工程资源。</t>
  </si>
  <si>
    <t>早期瞄准液氧甲烷推进、发动机、推进系统和整箭控制。发动机试验、整箭试验和发射服务可靠性必须分阶段验证。</t>
  </si>
  <si>
    <t>围绕整箭设计与动力系统开展研发，联合伙伴整合制造。</t>
  </si>
  <si>
    <t>面向卫星客户争取发射服务，早期关键是技术里程碑、可靠性和客户合同，而不是预先假定规模化盈利。</t>
  </si>
  <si>
    <t>瞄准低轨卫星组网需求，规划更经济的商业发射服务。</t>
  </si>
  <si>
    <t>研发周期长且首飞待验，现金能否撑到发射收入形成？</t>
  </si>
  <si>
    <t>IT桔子记录：2016-03-02天使轮，创想天使参与，金额未透露；2016-06 Pre-A为数千万人民币。未披露天使投后估值。</t>
  </si>
  <si>
    <t>IT桔子新闻记录国家制造业转型升级基金2024-12-25投资9亿元；同页没有相应投后估值。科创板IPO拟募资75亿元是募资计划，不是市值或已经完成的融资估值。</t>
  </si>
  <si>
    <t>寒武纪</t>
  </si>
  <si>
    <t>云枢芯片</t>
  </si>
  <si>
    <t>开发深度学习专用处理器，覆盖终端与云端计算。</t>
  </si>
  <si>
    <t>陈天石等人来自中国科学院计算技术研究所的智能处理器研究团队，2016年将研究成果产业化。早期优势在于算法、架构和编译器协同，而非已有大规模客户。</t>
  </si>
  <si>
    <t>中科院计算所研究团队创业，积累智能处理器架构技术。</t>
  </si>
  <si>
    <t>公司围绕智能处理器架构、板卡和软件工具链开发产品。峰值算力、实际模型性能、软件适配和客户验证是不同层次的证据。</t>
  </si>
  <si>
    <t>深度学习专用处理器已流片，面向终端追求低功耗。</t>
  </si>
  <si>
    <t>早期依托终端和云端客户验证芯片，后续扩展训练与推理产品。单一大客户订单、流片节奏和生态兼容会共同影响商业化。</t>
  </si>
  <si>
    <t>终端处理器可供集成，兼向云端拓展智能计算产品。</t>
  </si>
  <si>
    <t>终端集成周期长，软件适配成本会否吃掉专用算力优势？</t>
  </si>
  <si>
    <t>2017年A轮公开报道为1亿美元级。该融资额不是估值；本表以新增资金占投后10%的显式情景推算进入估值。</t>
  </si>
  <si>
    <t>公司已在科创板上市；终点采用2026-10-15腾讯行情的5,641.89亿元市值。</t>
  </si>
  <si>
    <t>公开估值/市值计算：85.10倍，未计后续稀释、优先权、税费和流动性折价。</t>
  </si>
  <si>
    <t>因时机器人</t>
  </si>
  <si>
    <t>微驱科技</t>
  </si>
  <si>
    <t>自研微型伺服电缸，未来想拓展灵巧手</t>
  </si>
  <si>
    <t>蔡颖鹏团队于2016年创办因时机器人，从微型伺服电缸等精密执行部件起步，后续发展灵巧手与相关执行系统。未核实个人学历不补造。</t>
  </si>
  <si>
    <t>精密机电团队从整机研发转向微型核心零部件。</t>
  </si>
  <si>
    <t>将电驱、传动和多指机构共同设计，追求小型化和批次一致性。后续灵巧手需求放大，但早期卡片只介绍微型执行部件。</t>
  </si>
  <si>
    <t>将电机、传动与伺服控制集成，缩小直线执行器体积。</t>
  </si>
  <si>
    <t>标准部件先服务工业及设备客户，再进入机器人整机供应链。后续交付规模与客户采购数据是复盘资料，不能提前放入2017年卡片。</t>
  </si>
  <si>
    <t>向机器人与自动化设备厂商供应微型驱动部件。</t>
  </si>
  <si>
    <t>灵巧手市场尚未打开，能否兼顾小批量交付成本？</t>
  </si>
  <si>
    <t>原表2017 Pre-A为待核线索；未取得融资额、出让股比或投后估值，不能生成首轮倍数。</t>
  </si>
  <si>
    <t>已核2026-02-25完成C1及C2两轮合计数亿元；中国移动链长基金/深创投领投C1，北京市人工智能产业投资基金领投C2。未披露投后估值。</t>
  </si>
  <si>
    <t>深兰机器人</t>
  </si>
  <si>
    <t>城务机器人</t>
  </si>
  <si>
    <t>研发园区清洁机器人，将视觉算法用于移动作业。</t>
  </si>
  <si>
    <t>原型限定深兰机器人（上海）有限公司，依托集团技术与产业资源。集团创始人的融资经历不当作子公司的独立股权交易。主体成立于2018-05-04，以该时点描述早期能力。</t>
  </si>
  <si>
    <t>依托集团AI研发与产业资源，组建机器人工程团队。</t>
  </si>
  <si>
    <t>将视觉感知、移动导航和机器人机构用于清洁及其他服务任务。集团宣传的技术范围不等于子公司独立产品全部能力。</t>
  </si>
  <si>
    <t>以视觉感知结合移动导航，研发自主清洁作业系统。</t>
  </si>
  <si>
    <t>深兰机器人上海主体2018年成立，依托集团推进服务机器人、消毒与清洁业务。2026-05-07法院受理其破产清算；职工债权公示只证明清算进展，未证明股权最终回收为零。</t>
  </si>
  <si>
    <t>依托集团产业渠道，争取园区清洁场景试点。</t>
  </si>
  <si>
    <t>清洁效果与现场适应性，能否达到客户验收要求？</t>
  </si>
  <si>
    <t>深兰机器人（上海）有限公司成立于2018-05-04；独立首轮VC股权融资未证实。进入年改为主体成立年，原表早于成立年份的教学进入不再沿用。</t>
  </si>
  <si>
    <t>独立外部融资与最新股权估值未披露；目前可核实的是该法律主体进入破产清算程序，尚无最终股权分配结果。</t>
  </si>
  <si>
    <t>银河航天</t>
  </si>
  <si>
    <t>星联通信</t>
  </si>
  <si>
    <t>研发低轨宽带通信卫星，探索低成本批量制造。</t>
  </si>
  <si>
    <t>徐鸣于2018年创办银河航天，团队吸纳卫星、通信和制造工程人员。管理创业经验与航天工程分工需分别理解。</t>
  </si>
  <si>
    <t>科技创业者联合卫星工程师，推进商业化造星。</t>
  </si>
  <si>
    <t>早期需要并行验证通信载荷、卫星平台、地面链路和制造工艺。单颗卫星成功不等于可运营的通信网络。</t>
  </si>
  <si>
    <t>协同研发宽带通信载荷与卫星平台，验证天地链路。</t>
  </si>
  <si>
    <t>以卫星研制和通信试验客户为起点，之后才能检验批量交付、频谱资源、组网与长期运营的经济性。</t>
  </si>
  <si>
    <t>以卫星研制切入，面向低轨宽带通信组网需求。</t>
  </si>
  <si>
    <t>单星可用后，批产成本和频谱许可会卡住组网吗？</t>
  </si>
  <si>
    <t>2018年前后天使阶段的精确首轮融资金额、投后估值与新增持股比例未在本批资料中核实。</t>
  </si>
  <si>
    <t>公开报道曾提及2022年融资后的估值约110亿元，但本批未取得对应交易、投后/投前定义和后续可比终点，不能据此给出首轮回报倍数。</t>
  </si>
  <si>
    <t>智谱AI</t>
  </si>
  <si>
    <t>知衡AI</t>
  </si>
  <si>
    <t>AI应用与模型</t>
  </si>
  <si>
    <t>将知识图谱技术转为企业认知智能产品与服务。</t>
  </si>
  <si>
    <t>智谱源于清华计算机研究成果转化。唐杰等研究者与工程、经营团队从知识工程和语言模型研究出发，探索将通用模型用于企业任务。</t>
  </si>
  <si>
    <t>清华大学计算机系知识工程团队，推动研究成果转化。</t>
  </si>
  <si>
    <t>早期积累知识工程、预训练语言模型和模型服务能力；通用能力、本地部署、工具调用和项目交付成本需要分别判断。</t>
  </si>
  <si>
    <t>连接文本中的实体与关系，构建可检索的知识图谱。</t>
  </si>
  <si>
    <t>以企业客户和开发者为主要入口，探索模型API及私有化部署。订单金额不等于可复制的软件收入。</t>
  </si>
  <si>
    <t>面向企业知识分析需求，提供知识图谱产品与服务。</t>
  </si>
  <si>
    <t>企业数据清洗与定制开发，会否推高项目交付成本？</t>
  </si>
  <si>
    <t>2019年首轮投后3.75亿元。</t>
  </si>
  <si>
    <t>2026-10-15市值2481.82亿港元，折人民币约2116.50亿元。</t>
  </si>
  <si>
    <t>公开估值/市值计算：564.40倍。</t>
  </si>
  <si>
    <t>长鑫科技</t>
  </si>
  <si>
    <t>长存科技</t>
  </si>
  <si>
    <r>
      <t>国产替代</t>
    </r>
    <r>
      <rPr>
        <sz val="10"/>
        <color rgb="FF172233"/>
        <rFont val="Arial"/>
        <charset val="134"/>
      </rPr>
      <t>DRAM</t>
    </r>
    <r>
      <rPr>
        <sz val="10"/>
        <color rgb="FF172233"/>
        <rFont val="宋体-简"/>
        <charset val="134"/>
      </rPr>
      <t>存储芯片，建设设计制造一体化产能。</t>
    </r>
  </si>
  <si>
    <t>长鑫存储由合肥存储项目发展而来，朱一明等半导体产业人士参与组织。它不是轻资产设计公司，研发、产线和供应链需要同时推进。</t>
  </si>
  <si>
    <t>存储芯片产业团队，同时组织产品研发与晶圆制造。</t>
  </si>
  <si>
    <t>以DRAM工艺、产品设计和量产良率为核心，面向移动终端、电脑和服务器等用途。能流片不等于能以目标成本长期稳定供货。</t>
  </si>
  <si>
    <t>以8Gb DDR4产品起步，推进工艺良率与稳定量产。</t>
  </si>
  <si>
    <t>公司先投入高资本开支建设产能，再争取终端和服务器客户验证。2020年大额战略投资反映扩产融资需求，不等于当年已经形成同等规模销售。</t>
  </si>
  <si>
    <t>已有首笔DRAM订单，扩建产能争取批量芯片采购。</t>
  </si>
  <si>
    <t>内存市场海外巨头林立，国产替代难度大，烧钱是否会是无底洞？</t>
  </si>
  <si>
    <t>IT桔子当前可见的最早一笔为2020-12-16战略投资156.5亿元；该金额是新增资金，平台页未披露投后估值或增发比例。</t>
  </si>
  <si>
    <t>IT桔子列示2022-02-11战略投资186.09亿元；公司于2026年科创板上市。终点采用2026-10-15腾讯行情显示的约2.959万亿元市值，而非把任一融资额当估值。</t>
  </si>
  <si>
    <t>公开估值/市值计算：18.91倍，未计后续稀释、优先权、税费和流动性折价。</t>
  </si>
  <si>
    <t>国盾量子</t>
  </si>
  <si>
    <t>量盾通信</t>
  </si>
  <si>
    <t>量子科技</t>
  </si>
  <si>
    <t>提供量子密钥设备与组网服务，保护高安全通信。</t>
  </si>
  <si>
    <t>国盾量子源自中国科学技术大学量子信息研究成果转化，团队长期积累量子通信设备、网络和工程部署经验。</t>
  </si>
  <si>
    <t>中科大量子信息团队转化创业，已有通信网络工程积累。</t>
  </si>
  <si>
    <t>公司围绕量子密钥分发、量子随机数和网络设备开发产品。实验演示、单设备性能、组网可靠性与客户预算是不同验证环节。</t>
  </si>
  <si>
    <t>以量子密钥分发结合网络设备，已支撑干线与城域网。</t>
  </si>
  <si>
    <t>早期主要面向政企和科研网络项目销售设备和系统服务。项目收入能否复制、运维成本和标准化程度决定业务质量。</t>
  </si>
  <si>
    <t>向金融、电力与政务网络销售设备，提供技术保障。</t>
  </si>
  <si>
    <t>网络建设项目周期长，采购节奏能否覆盖持续研发投入？</t>
  </si>
  <si>
    <t>早期民间融资的完整投后估值未取得。本表使用2020年IPO发行价作为可公开复核的进入价格，而不伪造创业期估值。</t>
  </si>
  <si>
    <t>终点使用2026-10-15科创板收盘市值约228.75亿元。</t>
  </si>
  <si>
    <t>公开估值/市值计算：7.87倍，未计后续稀释、优先权、税费和流动性折价。</t>
  </si>
  <si>
    <t>达闼机器人</t>
  </si>
  <si>
    <t>云行机器人</t>
  </si>
  <si>
    <t>用云端大脑连接服务机器人，统一管理和更新能力。</t>
  </si>
  <si>
    <r>
      <t>原型限定达闼机器人（北京）有限公司，依托集团技术与产业资源。集团创始人的融资经历不当作子公司的独立股权交易。主体成立于</t>
    </r>
    <r>
      <rPr>
        <sz val="10"/>
        <color rgb="FF172233"/>
        <rFont val="Arial"/>
        <charset val="134"/>
      </rPr>
      <t>2020-09-27</t>
    </r>
    <r>
      <rPr>
        <sz val="10"/>
        <color rgb="FF172233"/>
        <rFont val="宋体-简"/>
        <charset val="134"/>
      </rPr>
      <t>，以该时点描述早期能力。</t>
    </r>
  </si>
  <si>
    <t>前通信研究院院长、通信设备公司CTO创办。</t>
  </si>
  <si>
    <t>云端平台与本地机器人协同，涉及网络、感知、控制及运维。云端更新不能替代端侧实时安全和现场可靠性。</t>
  </si>
  <si>
    <t>云端处理语音与视觉，通过安全网络连接机器人控制器。</t>
  </si>
  <si>
    <t>集团以云端机器人为方向推进企业项目，北京子公司2020-09成立。2025-10-10北京市房山区法院受理北京子公司破产清算申请；不得据此推定集团全部主体估值为零。</t>
  </si>
  <si>
    <t>面向医疗、零售等客户，探索机器人租赁与持续服务。</t>
  </si>
  <si>
    <t>云脑、网络和本体同时投入，租赁收入能覆盖交付与运维吗？</t>
  </si>
  <si>
    <t>达闼机器人（北京）有限公司成立于2020-09-27；独立首轮VC股权融资未证实。进入年改为主体成立年，原表早于成立年份的教学进入不再沿用。</t>
  </si>
  <si>
    <t>盈合机器人</t>
  </si>
  <si>
    <t>工序机器人</t>
  </si>
  <si>
    <t>研发城市治理与应急机器人</t>
  </si>
  <si>
    <t>沈岗具有东京工业大学机械博士、发那科及博智林工作经历，2020年在深圳创办盈合，带有盈峰集团产业背景。原型是工业自动化和城市服务机器人公司，不是四足公司。</t>
  </si>
  <si>
    <t>前发那科高管、建筑机器人负责人带队创业。</t>
  </si>
  <si>
    <t>以AI、IoT、Robot组合面向工业、应急管理和城市治理，重点在系统与具体工序集成。多产品线不等于共用同一交付成本结构。</t>
  </si>
  <si>
    <t>围绕城市与应急任务研发机器人集群，结合智能制造。</t>
  </si>
  <si>
    <t>成立于2020-03，初期从应急管理、城市治理与智能制造切入；2021年A轮融资约4亿元后多线扩张。2026年进入破产程序。截至2026-10-15尚未召开首次债权人会议，没有最终普通股回收证据。</t>
  </si>
  <si>
    <t>依托环保装备产业资源，切入城市治理与应急项目。</t>
  </si>
  <si>
    <t>跨场景产品并行研发，定制成本能否靠重复交付摊薄？</t>
  </si>
  <si>
    <t>2020年天使轮整轮超9000万元；熊猫资本单家投资7000万元，不能把单家金额写为整轮。投后估值未直接核实。</t>
  </si>
  <si>
    <t>2021-01 A轮约4亿元、当时估值约5亿美元（33亿元人民币）；2024-05有新融资，估值未披露。2026年已进入破产程序；首次债权人会议定于2026-10-19，晚于本次基准日。</t>
  </si>
  <si>
    <t>蓝点触控</t>
  </si>
  <si>
    <t>触衡科技</t>
  </si>
  <si>
    <t>研发机器人六维力传感器，让机械臂感知接触力。</t>
  </si>
  <si>
    <t>刘吴月具有西北工业大学与航天力测研发背景，2019年创办蓝点触控。团队从六维力传感器及控制应用切入。</t>
  </si>
  <si>
    <t>西北工大与航天传感研发背景，将精密力测带入机器人。</t>
  </si>
  <si>
    <t>六维力传感测量力和力矩，涉及结构、应变测量、补偿和标定，连接机器人接触控制。它与大面积触觉阵列属于不同感知路线。</t>
  </si>
  <si>
    <t>同步测量三向力与三向力矩，为机器人接触控制提供反馈。</t>
  </si>
  <si>
    <t>早期面向打磨、去毛刺等工业工艺，后续拓展机器人力控需求。真实价值要看工艺稳定性、调试和维护成本。</t>
  </si>
  <si>
    <t>面向协作机器人精细作业，提供国产力传感部件。</t>
  </si>
  <si>
    <t>传感精度受标定与温漂影响，工位调试能否控制成本？</t>
  </si>
  <si>
    <t>IT桔子列2020-05-08天使轮，金额未透露；用户20倍对应起点2.6亿为倒算，不可声称为公开天使轮估值。</t>
  </si>
  <si>
    <t>IT桔子列2023-06-27 Pre-A数千万、2024-08-01 A数千万、2025-07-16 B近亿、2025-11-19 C 1亿元、2026-08-17 D数亿元；用户另确认最新估值52亿元。</t>
  </si>
  <si>
    <t>用户人工确认：20.00倍，未计后续稀释、优先权、税费和流动性折价。</t>
  </si>
  <si>
    <t>沐曦</t>
  </si>
  <si>
    <t>晨炬芯片</t>
  </si>
  <si>
    <t>研发国产通用GPU，瞄准数据中心与人工智能算力。</t>
  </si>
  <si>
    <t>陈维良、彭莉等创始成员有国际GPU厂商研发与管理经历，2020年创办沐曦。早期要同时搭建芯片设计、软件和客户支持团队。</t>
  </si>
  <si>
    <t>前AMD芯片架构师与GPU设计负责人组队创业。</t>
  </si>
  <si>
    <t>公司研发GPU、驱动、编译和软件平台；算力指标只有与兼容性、稳定性和实际工作负载共同验证才有商业意义。</t>
  </si>
  <si>
    <t>芯片架构与驱动软件协同研发，支持多类并行计算任务。</t>
  </si>
  <si>
    <t>早期面对国内数据中心的算力需求寻找部署机会，后续推进产品和资本市场准备。该卡片将用户确认的2025年Pre-IPO估值锁为终点，不自动改写为后续市值。</t>
  </si>
  <si>
    <t>面向数据中心国产替代需求，规划通用算力芯片供应。</t>
  </si>
  <si>
    <t>首代芯片量产与软件兼容待验，现金能否撑过研发周期？</t>
  </si>
  <si>
    <t>2020-10天使轮投后4.80亿元。</t>
  </si>
  <si>
    <t>2026-10-15市值1748.04亿元。</t>
  </si>
  <si>
    <t>公开估值/市值计算：364.18倍。</t>
  </si>
  <si>
    <t>摩尔线程</t>
  </si>
  <si>
    <t>众芯计算</t>
  </si>
  <si>
    <t>研发兼顾图形与AI计算的国产GPU及软件生态。</t>
  </si>
  <si>
    <t>张建中有英伟达中国管理经历，2020年创办摩尔线程。团队同时覆盖GPU架构、驱动、编译器和系统软件，组织复杂度高于单一芯片设计项目。</t>
  </si>
  <si>
    <t>前英伟达中国负责人带队，组建GPU软硬件团队。</t>
  </si>
  <si>
    <t>公司开发全功能GPU及配套软件生态，面向图形渲染和智算工作负载。规格宣传不等于客户应用已完成迁移和稳定部署。</t>
  </si>
  <si>
    <t>芯片、驱动与编译器协同研发，兼顾图形和通用计算。</t>
  </si>
  <si>
    <t>公司从国产图形和行业计算需求切入，再向智算系统拓展。客户适配成本、软件生态和持续流片融资决定商业化速度。</t>
  </si>
  <si>
    <t>从本土软硬件生态切入，争取图形与计算客户。</t>
  </si>
  <si>
    <t>流片与软件生态投入大，首款芯片可用性仍待验证。</t>
  </si>
  <si>
    <t>2020年天使轮投后16.46亿元。</t>
  </si>
  <si>
    <t>2026-10-15市值1668.60亿元。</t>
  </si>
  <si>
    <t>公开估值/市值计算：101.37倍。</t>
  </si>
  <si>
    <t>帕西尼</t>
  </si>
  <si>
    <t>触知科技</t>
  </si>
  <si>
    <t>为机器人和人机交互设备提供三维触觉传感器。</t>
  </si>
  <si>
    <t>许晋诚具有早稻田大学仿生机器人博士背景，2021年创办帕西尼，早期参加创业孵化与融资。团队从触觉感知延伸到操作硬件。</t>
  </si>
  <si>
    <t>早稻田机器人研究者携传感与机械臂工程团队创业。</t>
  </si>
  <si>
    <t>多维触觉感知与机器人结构、控制协同，关注接触分布和操作反馈。与六维腕部力传感区分，不能只按“有触觉”宣称泛化抓取。</t>
  </si>
  <si>
    <t>三轴触觉模块测量法向力与剪切力，反馈接触变化。</t>
  </si>
  <si>
    <t>先服务研发和机器人产品团队，再拓展操作硬件及场景合作。客户验证、传感器寿命与制造成本决定可复制交付。</t>
  </si>
  <si>
    <t>向企业销售传感器，叠加软件服务与固件订阅。</t>
  </si>
  <si>
    <t>大量铺设后，标定与耐用性还能控制成本吗？</t>
  </si>
  <si>
    <t>2021-11-25媒体披露数百万元天使轮，奇绩创坛领投。未见帕西尼个别合同；可参考奇绩公开标准30万美元换7%估算早期投后约428.57万美元，按约6.45元/美元折合0.2764亿元人民币，仅是有来源的代理估算。</t>
  </si>
  <si>
    <t>2026-03-06公开B轮超10亿元人民币、投后估值超100亿元；2026-09仍有B++融资记录但未核新估值，采用最新已披露估值下限100亿元，不把融资额相加当估值。</t>
  </si>
  <si>
    <t>可复核估算：361.76倍，未计后续稀释、优先权、税费和流动性折价。</t>
  </si>
  <si>
    <t>毫末智行</t>
  </si>
  <si>
    <t>远途智驾</t>
  </si>
  <si>
    <t>为量产乘用车提供辅助驾驶，兼做低速无人配送。</t>
  </si>
  <si>
    <t>毫末由长城汽车智能驾驶业务分拆，顾维灏等团队结合算法与汽车工程经验创业。产业股东提供车型入口，也使客户集中度成为早期关键变量。</t>
  </si>
  <si>
    <t>长城智驾团队携百度、华为背景研发人员联合创业。</t>
  </si>
  <si>
    <t>公司推进感知、规划、控制和数据闭环，用于量产辅助驾驶与低速自动驾驶。数据量本身不能代替安全、成本和独立客户验证。</t>
  </si>
  <si>
    <t>全栈自研感知规划，用量产车道路数据持续迭代。</t>
  </si>
  <si>
    <t>早期依托长城车型开展产品部署，并尝试拓展外部客户。2025年媒体报道全员停工，属于严重经营挫折；该事实不能自动推出法院破产或普通股已按零清偿。</t>
  </si>
  <si>
    <t>依托长城多款车型量产上车，获取订单与道路数据。</t>
  </si>
  <si>
    <t>订单集中于产业股东，外部拓客与研发投入待平衡。</t>
  </si>
  <si>
    <t>2021年A轮公开报道约10亿元，但未获当轮投后估值或新增持股比例。</t>
  </si>
  <si>
    <t>截至截止日，可核的核心终点事实是2025年全员停工报道；未取得法院破产裁定、重整清偿方案或普通股实际退出价格。</t>
  </si>
  <si>
    <t>辉羲智能</t>
  </si>
  <si>
    <t>曜行芯算</t>
  </si>
  <si>
    <t>研发车规大算力芯片，面向高阶辅助驾驶计算。</t>
  </si>
  <si>
    <t>徐宁仪、贺光辉、章健勇于2022年4月联合创立辉羲，团队结合芯片架构、高校研发和车企自动驾驶经验。</t>
  </si>
  <si>
    <t>交大芯片教授与前蔚来智驾副总裁联合创业。</t>
  </si>
  <si>
    <t>面向车规大算力芯片研发，同时规划开放工具链与自动驾驶软件；性能、功耗、工具链成熟度与功能安全需共同验证。</t>
  </si>
  <si>
    <t>大算力车规芯片与开放工具链、智驾软件协同研发。</t>
  </si>
  <si>
    <t>初期以车载计算平台为目标，与整车厂和汽车供应链对接，车规定点、验证及量产周期长。</t>
  </si>
  <si>
    <t>借车企产业股东资源，争取下一代智驾平台导入。</t>
  </si>
  <si>
    <t>直接研发大算力芯片，流片投入高且上车周期长。</t>
  </si>
  <si>
    <t>用户确认首轮估值2亿元人民币。公开2022-12-08报道天使+融资超5000万美元、估值2亿美元；这是不同轮次与币种，不能据此验证人民币2亿元首轮。</t>
  </si>
  <si>
    <t>用户确认最新估值80亿元人民币；公开2025-01-08报道A1轮（亦庄产投领投），未公开验证该轮80亿元。</t>
  </si>
  <si>
    <t>用户人工确认：40.00倍，未计后续稀释、优先权、税费和流动性折价。</t>
  </si>
  <si>
    <t>MiniMax</t>
  </si>
  <si>
    <t>语镜智能</t>
  </si>
  <si>
    <r>
      <t>研发</t>
    </r>
    <r>
      <rPr>
        <sz val="10"/>
        <color rgb="FF172233"/>
        <rFont val="Arial"/>
        <charset val="134"/>
      </rPr>
      <t>AI</t>
    </r>
    <r>
      <rPr>
        <sz val="10"/>
        <color rgb="FF172233"/>
        <rFont val="宋体-简"/>
        <charset val="134"/>
      </rPr>
      <t>通用模型，从虚拟角色聊天与陪伴产品切入。</t>
    </r>
  </si>
  <si>
    <t>闫俊杰等创始成员有深度学习研究和互联网工程背景，2022年创办MiniMax。早期团队需要同时建立模型能力、产品入口和高成本算力组织。</t>
  </si>
  <si>
    <t>前商汤通用智能负责人带队，自研基础模型。</t>
  </si>
  <si>
    <t>公司探索文本、语音、图像等多模态模型与交互产品。模型榜单、用户留存、推理成本和开发者调用量不能互相替代。</t>
  </si>
  <si>
    <t>研发文本生成与语音合成模型，探索自然交互。</t>
  </si>
  <si>
    <t>从面向消费者的AI产品和开发者服务寻找入口。增长数据只有在订阅、API收入和算力成本可覆盖时才构成商业闭环。</t>
  </si>
  <si>
    <t>以虚拟聊天产品获取用户反馈，探索持续付费。</t>
  </si>
  <si>
    <t>模型训练与推理成本高，陪伴用户能否长期留存？</t>
  </si>
  <si>
    <t>公开报道的早期天使轮为1,000万美元级；投后估值未披露。本表用10%新增持股假设还原估值，不把融资额本身当估值。</t>
  </si>
  <si>
    <t>公开媒体在2024年B轮融资时报道公司估值约25亿美元；由于未取得2026年可核的同主体新一轮投后估值，本表停在该最后可复核公开估值点。</t>
  </si>
  <si>
    <t>公开估值/市值计算：25.00倍，未计后续稀释、优先权、税费和流动性折价。</t>
  </si>
  <si>
    <t>智元机器人</t>
  </si>
  <si>
    <t>行知机器人</t>
  </si>
  <si>
    <t>研发能进工厂执行移动与操作任务的人形机器人。</t>
  </si>
  <si>
    <t>邓泰华具有华为产业管理经历，彭志辉具有电子工程与华为研发背景，2023年联合创办智元。组织同时吸纳机器人、算法和制造团队。</t>
  </si>
  <si>
    <t>前华为副总裁与昇腾AI工程师联合创业。</t>
  </si>
  <si>
    <t>从关节及人形本体扩展到移动操作、数据采集和具身模型平台。全栈研发有利于联调，也增加工程和产品组合管理成本。</t>
  </si>
  <si>
    <t>自研准直驱关节与灵巧手，兼顾行走和精细操作。</t>
  </si>
  <si>
    <t>早期依托产业伙伴开展工厂与商业场景试点，后续推出多类平台并扩大交付。交付台数不能直接代表持续任务收入或投资退出。</t>
  </si>
  <si>
    <t>先与汽车和3C厂商洽谈，验证装配与检测场景。</t>
  </si>
  <si>
    <t>工厂节拍和可靠性尚待验证，双足方案成本能否压住？</t>
  </si>
  <si>
    <t>2023年3月天使轮；中国经营报已核到时间，但金额、转让比例及投后估值未公开核实。</t>
  </si>
  <si>
    <t>2025年3月腾讯领投新一轮融资已完成工商变更，媒体披露估值150亿元；2026年10月13日报道约500亿元新融资接近收尾，尚不按已完成处理。</t>
  </si>
  <si>
    <t>星动纪元</t>
  </si>
  <si>
    <t>衡步机器人</t>
  </si>
  <si>
    <t>研发学习控制驱动的人形机器人，先突破稳定行走。</t>
  </si>
  <si>
    <t>陈建宇来自清华交叉信息研究院机器人学习与控制研究体系。2023年创办星动纪元，团队同时建设算法、关节与整机工程能力。</t>
  </si>
  <si>
    <t>清华机器人学习教授领衔，联合关节与整机工程团队。</t>
  </si>
  <si>
    <t>采用强化学习和运动控制协同路线，研发人形本体、关节与灵巧操作系统。视频中的动态动作仅证明特定条件下的能力。</t>
  </si>
  <si>
    <t>自研高扭矩模块化关节，与强化学习控制协同设计。</t>
  </si>
  <si>
    <t>研发平台与产业试点为起步入口，后续融资支持硬件、数据与任务验证。商业评价仍需要任务节拍、维护成本和复购。</t>
  </si>
  <si>
    <t>先面向科研开发客户，再验证巡检与工业任务。</t>
  </si>
  <si>
    <t>行走演示到连续作业仍有距离，维护与故障成本待测。</t>
  </si>
  <si>
    <t>2023年下半年至2024年初种子轮数千万元，世纪金源领投、图灵创投跟投；精确交割月份和投后估值未披露。</t>
  </si>
  <si>
    <t>2026年7月6日披露完成10亿元融资；2026年3月已披露估值超100亿元，4月超2亿美元融资，7月最新轮未给新估值。</t>
  </si>
  <si>
    <t>星海图</t>
  </si>
  <si>
    <t>双行平台</t>
  </si>
  <si>
    <t>研发轮式双臂机器人，为具身学习提供可用本体。</t>
  </si>
  <si>
    <t>高继扬具有清华本科、南加州大学博士及自动驾驶技术管理经历，2023年创办星海图。团队结合机器人研究和产品工程。</t>
  </si>
  <si>
    <t>前自动驾驶研发负责人联手清华教授，打通感知与控制。</t>
  </si>
  <si>
    <t>软硬一体开发双臂移动平台、遥操作与学习系统，借真实数据改进操作策略。数据质量和任务覆盖比设备数量更重要。</t>
  </si>
  <si>
    <t>让轮式双臂本体适配学习算法，协同设计移动与操作。</t>
  </si>
  <si>
    <t>早期开发平台服务研究及产业客户，后续向具身模型和应用验证延伸。硬件销售与持续任务收入应分开评价。</t>
  </si>
  <si>
    <t>以开发平台切入科研客户，探索机器人本体销售。</t>
  </si>
  <si>
    <t>本体能跑通实验，能否稳定完成客户实际任务？</t>
  </si>
  <si>
    <t>2023年天使首轮交割，2024年初后续交割；公开融资为千万美元级，未取得首轮精确金额、比例和投后估值。不重复计算跨年交割。</t>
  </si>
  <si>
    <t>2026年4月2日B+轮近20亿元已完成；科创板日报核到投后估值突破200亿元，累计融资近50亿元是另一口径。</t>
  </si>
  <si>
    <t>月之暗面Kimi</t>
  </si>
  <si>
    <t>星光AI</t>
  </si>
  <si>
    <t>用长上下文AI助手，整篇阅读财报、论文与合同。</t>
  </si>
  <si>
    <t>杨植麟、周昕宇、吴育昕于2023年创办月之暗面。团队来自自然语言处理研究和互联网产品工程背景，选择把模型能力先做成面向普通用户的助手。</t>
  </si>
  <si>
    <t>大模型论文作者联合研发骨干，兼具模型与工程经验。</t>
  </si>
  <si>
    <t>早期以长上下文和文档处理建立产品辨识度；模型可处理的长度、答案可靠性和推理成本需要分别验证。</t>
  </si>
  <si>
    <t>自研长程注意力，支持约二十万汉字上下文输入。</t>
  </si>
  <si>
    <t>2023年完成天使、Pre-A融资，随后推出Kimi。面向个人的使用增长、订阅转化、API收入和推理成本是不同经营指标。</t>
  </si>
  <si>
    <t>从长文问答与报告分析切入，验证专业用户需求。</t>
  </si>
  <si>
    <t>长文推理算力开销高，付费能否覆盖服务成本？</t>
  </si>
  <si>
    <t>2023-06天使轮投后3亿美元。</t>
  </si>
  <si>
    <t>2026-10-06最新已完成私募估值约500亿美元。</t>
  </si>
  <si>
    <t>公开估值计算：166.67倍。</t>
  </si>
  <si>
    <t>VAST</t>
  </si>
  <si>
    <t>立物智能</t>
  </si>
  <si>
    <t>研发图文生成三维模型工具，缩短建模起稿时间。</t>
  </si>
  <si>
    <t>VAST/Tripo由AI与三维图形研发团队于2023年前后创办。该案例对应Tripo 3D生成产品，不是GPU租赁平台vast.ai或美国航天公司Vast。</t>
  </si>
  <si>
    <t>前商汤技术负责人携清华图形学博士，联合创业。</t>
  </si>
  <si>
    <t>将文本和图片输入转化为三维几何与纹理；视觉效果、拓扑、材质一致性和后续可编辑性是不同能力。</t>
  </si>
  <si>
    <t>以生成模型学习三维形状与纹理，探索图文建模。</t>
  </si>
  <si>
    <t>以网页工具和API服务创作者、游戏及设计开发者，探索订阅或调用计费。试用量不能代替持续付费。</t>
  </si>
  <si>
    <t>面向游戏、动画与设计创作者，探索三维工具付费。</t>
  </si>
  <si>
    <t>生成资产若仍需重拓扑与修材质，省时价值可能不足。</t>
  </si>
  <si>
    <t>公开可检索资料尚未核到与Tripo主体一致的首轮投后估值；不得把媒体提及的融资金额直接作为公司估值。</t>
  </si>
  <si>
    <t>截至截止日，未核到同一主体、可复算的最新投后估值或公开市值。</t>
  </si>
  <si>
    <t>无问芯穹</t>
  </si>
  <si>
    <t>众算平台</t>
  </si>
  <si>
    <t>为大模型适配多种芯片，降低异构算力使用门槛。</t>
  </si>
  <si>
    <t>无问芯穹于2023年成立，汪玉、曾书霖、戴国浩等来自芯片、系统及异构计算研究与工程背景。团队从模型与硬件之间的适配问题切入。</t>
  </si>
  <si>
    <t>清华高能效计算团队创业，积累软硬协同研究经验。</t>
  </si>
  <si>
    <t>围绕异构算力适配、资源调度和模型服务构建基础设施。兼容多种芯片不表示各模型都有相同性能或成本。</t>
  </si>
  <si>
    <t>联合优化模型与芯片，让不同架构算力承接大模型。</t>
  </si>
  <si>
    <t>先服务模型团队和算力运营方，帮助降低迁移与闲置成本。利用率、客户留存、单位成本与融资规模须分开看。</t>
  </si>
  <si>
    <t>向模型研发团队提供芯片适配与推理加速服务。</t>
  </si>
  <si>
    <t>芯片与模型持续更新，适配成本可能吞噬服务毛利。</t>
  </si>
  <si>
    <t>IT桔子记录：2023-08-21天使轮“数千万人民币”，红杉中国、北极光创投、金沙江创投等参与；未披露投后估值。</t>
  </si>
  <si>
    <t>IT桔子新闻记录：2026-10-12完成23亿元C轮融资；同页没有披露投后估值。2024-09-02 A轮近5亿元也不能被当作估值。</t>
  </si>
  <si>
    <t>光轮智能</t>
  </si>
  <si>
    <t>仿境数据</t>
  </si>
  <si>
    <t>融合生成式AI与仿真，为自动驾驶和机器人合成数据。</t>
  </si>
  <si>
    <t>2023年创办的光轮智能由仿真、AI及产品工程团队组成，早期获辰韬、奇绩等支持。个人学历和未核实职位不编造。</t>
  </si>
  <si>
    <t>前英伟达、蔚来仿真负责人创业，有合成数据落地经验。</t>
  </si>
  <si>
    <t>以仿真资产、合成数据与评测构建训练基础设施。物理有效性、任务覆盖和真机迁移是核心指标，渲染质量不等于训练可用。</t>
  </si>
  <si>
    <t>从少量真实数据扩增场景，以真实性评测筛查质量。</t>
  </si>
  <si>
    <t>面向机器人及相关研发客户提供数据和仿真产品，后续扩展订单和交付。2026年公司宣传Q1订单超1亿美元不当作确认收入。</t>
  </si>
  <si>
    <t>为自动驾驶和机器人客户补充难采集的长尾场景。</t>
  </si>
  <si>
    <t>合成场景若偏离真实分布，可能放大模型训练偏差。</t>
  </si>
  <si>
    <t>2023年7月前完成种子、天使、天使+三轮，累计数千万元；具体种子金额及对应估值未披露，累计金额不能用于假装单轮估值。</t>
  </si>
  <si>
    <t>2026年5月25日蚂蚁领投新轮已完成，公开估值超过20亿美元；6月另有10亿元战略融资检索线索但未在本批取得权威新估值，因此保留5月最近可核估值。</t>
  </si>
  <si>
    <t>首形科技</t>
  </si>
  <si>
    <t>映颜科技</t>
  </si>
  <si>
    <t>零部件</t>
  </si>
  <si>
    <t>研发能用面部表情回应人的仿生情感交互机器人。</t>
  </si>
  <si>
    <t>胡宇航在哥伦比亚大学从事机器人与机器学习研究，2024年6月在上海创办首形科技，从仿生面部和情感交互切入。</t>
  </si>
  <si>
    <t>哥大机器人研究者创业，从仿生面部与表情学习切入。</t>
  </si>
  <si>
    <t>通过面部机构、驱动、柔性外覆材料和视觉学习协同，实现表情控制与交互；不是以灵巧手或通用搬运为主要切口。</t>
  </si>
  <si>
    <t>多驱动硅胶面部结合视觉学习，控制细微表情变化。</t>
  </si>
  <si>
    <t>创办初期选择情感交互与仿生角色机器人路线，拟面向接待、展示和交互体验场景；不能把后续融资或演示热度当作早期收入。</t>
  </si>
  <si>
    <t>以仿生角色机器人切入情感交互体验市场。</t>
  </si>
  <si>
    <t>仿生面部驱动与材料复杂，耐用性和维护成本待验证。</t>
  </si>
  <si>
    <t>2024年10月获得德迅投资、奇绩创坛、Taihill和智元机器人天使投资；首轮估值未公开核实。</t>
  </si>
  <si>
    <t>2026-04-07宣布完成数亿元A1轮，华控基金与某互联网大厂联合领投；轮次融资额不等于估值。</t>
  </si>
  <si>
    <t>用户人工确认：80.00倍，未计后续稀释、优先权、税费和流动性折价。</t>
  </si>
  <si>
    <t>千寻智能</t>
  </si>
  <si>
    <t>通序智能</t>
  </si>
  <si>
    <t>研发会学习多种操作任务的通用智能机器人。</t>
  </si>
  <si>
    <t>韩峰涛具备工业机器人创业经验，高阳来自清华及强化学习研究体系。2024年创办千寻，希望连接操作模型与工业机器人产品化。</t>
  </si>
  <si>
    <r>
      <t>机器人大厂前</t>
    </r>
    <r>
      <rPr>
        <sz val="10"/>
        <color rgb="FF172233"/>
        <rFont val="Arial"/>
        <charset val="134"/>
      </rPr>
      <t>CTO</t>
    </r>
    <r>
      <rPr>
        <sz val="10"/>
        <color rgb="FF172233"/>
        <rFont val="宋体-简"/>
        <charset val="134"/>
      </rPr>
      <t>与清华具身实验室负责人联合创业。</t>
    </r>
  </si>
  <si>
    <t>探索多任务操作模型、真机数据采集和本体协同。跨场景复用要由实际任务成功率、数据量及生产节拍共同验证。</t>
  </si>
  <si>
    <t>结合视觉任务规划与运控，让机器人学习多种操作。</t>
  </si>
  <si>
    <t>从工业操作验证和场景合作开始，后续融资扩大数据与工程投入。工位试点不等于已形成标准化的大规模收入。</t>
  </si>
  <si>
    <t>拟向商用服务与家庭场景提供会学习操作的机器人。</t>
  </si>
  <si>
    <t>跨任务泛化若仍需逐场景调试，交付成本难以摊薄。</t>
  </si>
  <si>
    <t>2024年种子与天使融资合计近2亿元；属于两轮累计，不能作为单轮投资金额。顺为参与种子轮已由经济参考报核实；首轮估值未披露。</t>
  </si>
  <si>
    <t>2026年4月7日宣布完成10亿元融资，南都记者披露该轮投后估值200亿元；不是把融资10亿当估值。</t>
  </si>
  <si>
    <t>极佳视界</t>
  </si>
  <si>
    <t>景行智能</t>
  </si>
  <si>
    <t>研发世界模型与视频生成，服务驾驶仿真和内容创作。</t>
  </si>
  <si>
    <t>黄冠具有微软、三星等视觉与AI研发经历，2023年创办极佳视界。早期从空间智能切入，后续向世界模型、具身模型与本体协同扩展。</t>
  </si>
  <si>
    <t>清华、地平线与阿里云背景团队，兼具视觉和产业经验。</t>
  </si>
  <si>
    <t>以视频和交互数据构建世界模型，研究动作后的场景变化，再与策略和真机反馈闭环结合。画面质量与闭环控制效果是两项指标。</t>
  </si>
  <si>
    <t>用世界模型生成驾驶场景，用视频模型扩展创作素材。</t>
  </si>
  <si>
    <t>早期面向空间智能及机器人合作验证，后续投入数据、模型与硬件工程。模型演示与付费交付、客户重复使用仍需分开核验。</t>
  </si>
  <si>
    <t>向车企提供仿真数据，与影视游戏客户合作视频生成。</t>
  </si>
  <si>
    <t>生成场景可能物理失真，能否经受驾驶算法验证？</t>
  </si>
  <si>
    <t>最早种子由辰韬投资、数千万元且未披露估值；本游戏采用2024年天使轮可核实入口：华民投崔斌公开确认投资时估值1亿元。不是将后来的5000万元两轮合计直接作估值。</t>
  </si>
  <si>
    <t>2026年4月近15亿元B1轮已完成、估值超过100亿元；2026年9月约200亿元投前Pre-IPO轮仍为即将交割口径。本测算用已完成B1公开估值下限100亿元。</t>
  </si>
  <si>
    <t>公开估值/市值计算：100.00倍，未计后续稀释、优先权、税费和流动性折价。</t>
  </si>
  <si>
    <t>灵初智能</t>
  </si>
  <si>
    <t>巧序智能</t>
  </si>
  <si>
    <t>研发机器人双手操作模型，让抓取与打包更灵巧。</t>
  </si>
  <si>
    <t>2024年设立的灵初智能由王启斌与柴晓杰、杨耀东、陈源培等研究及工程团队组成。创始人与同名或相近品牌区分，不沿用未核实的个人履历。</t>
  </si>
  <si>
    <t>某机器人大厂核心研发团队联合北大算法研究者。</t>
  </si>
  <si>
    <t>围绕灵巧操作、数据采集、强化学习和真机系统迭代，尝试提升复杂接触任务的泛化能力。演示任务不能代表全天候生产能力。</t>
  </si>
  <si>
    <t>分层训练动作规划与控制，结合强化学习提升操作能力。</t>
  </si>
  <si>
    <t>先以研发合作与具体操作任务验证产品，后续融资支持数据和系统建设。客户合同、付费规模和单任务经济性未统一核验。</t>
  </si>
  <si>
    <t>瞄准商超拣货、理货与打包，先验证有限场景操作。</t>
  </si>
  <si>
    <t>仿真技能迁移到真机困难，新任务仍需训练与调试。</t>
  </si>
  <si>
    <t>2024—2025年种子阶段投资方包括高瓴、蓝驰、智元等；单轮金额和投后估值未披露。</t>
  </si>
  <si>
    <t>2026年3月天使与Pre-A合计20亿元、4月国投先导等新轮；7月市场消息14.8亿美元融资仍接近完成，不作为已完成确认终点。60倍沿用用户基于真实投资的人工确认。</t>
  </si>
  <si>
    <t>用户人工确认：60.00倍，未计后续稀释、优先权、税费和流动性折价。</t>
  </si>
  <si>
    <t>硅基流动</t>
  </si>
  <si>
    <t>推理工坊</t>
  </si>
  <si>
    <t>为开发者提供开源模型推理云服务，降低部署门槛。</t>
  </si>
  <si>
    <t>袁进辉具有深度学习系统和工程产品经验，团队在2023年创办硅基流动，围绕模型推理效率与服务化展开。</t>
  </si>
  <si>
    <t>原知名开源推理框架团队创业，擅长分布式计算优化。</t>
  </si>
  <si>
    <t>推理引擎、模型适配、调度与服务接口共同决定成本和体验。延迟、吞吐、稳定性和单位成本必须在真实负载下比较。</t>
  </si>
  <si>
    <t>优化算子、框架与模型，用自研引擎加速语言和生图推理。</t>
  </si>
  <si>
    <t>从API和开发者使用切入，后续再验证企业接入、留存和毛利。调用量不能直接等同收入。</t>
  </si>
  <si>
    <t>向AI应用企业提供推理云服务与私有化部署方案。</t>
  </si>
  <si>
    <t>模型更新与同行降价频繁，推理加速能否守住毛利？</t>
  </si>
  <si>
    <t>2024-01天使轮投后2.8亿元。</t>
  </si>
  <si>
    <t>2026-06 B+首轮后投后77.4亿元。</t>
  </si>
  <si>
    <t>公开估值计算：27.64倍。</t>
  </si>
  <si>
    <t>德塔智能</t>
  </si>
  <si>
    <t>全身智能</t>
  </si>
  <si>
    <t>研发人形机器人基础模型，让双臂与双腿协同操作。</t>
  </si>
  <si>
    <t>2026年1月成立，由北京通用人工智能研究院（BIGAI）孵化，创始人兼CEO马晓健；团队围绕人形机器人基础模型、3D世界建模与全身协同操作创业。</t>
  </si>
  <si>
    <t>通用人工智能研究院孵化，清华与海外机器人研究者组队。</t>
  </si>
  <si>
    <t>早期方向为原生人形机器人基础模型，结合自主3D世界引擎研究全身协同操作；后续Delta D1采集第一人称全景与全身关节轨迹，是数据体系的后续验证，不能写进首轮卡片。</t>
  </si>
  <si>
    <t>结合原生三维世界引擎，统一空间推理与全身动作控制。</t>
  </si>
  <si>
    <t>以本体厂商和工业场景合作为早期验证路径；2026年7月近5亿元天使++轮用于模型、数据闭环和研发团队。融资不等于已形成收入。</t>
  </si>
  <si>
    <t>与本体厂商合作，在工业任务中验证全身操作能力。</t>
  </si>
  <si>
    <t>全身交互数据昂贵，跨本体适配仍需验证稳定性。</t>
  </si>
  <si>
    <t>2026年1月创办；4月前已完成三轮超亿元融资。用户直接确认按真实投资最新估值计算8倍，未提供逐轮估值或分子分母。</t>
  </si>
  <si>
    <t>2026年7月28日披露近5亿元天使++轮、成立半年第六轮融资；这是融资额，不是公司估值。回报8倍沿用用户确认。</t>
  </si>
  <si>
    <t>用户人工确认：8.00倍，未计后续稀释、优先权、税费和流动性折价。</t>
  </si>
  <si>
    <t>奥比中光</t>
  </si>
  <si>
    <t>深映感知</t>
  </si>
  <si>
    <t>研发深度相机与视觉模组，让智能终端测出距离和形状。</t>
  </si>
  <si>
    <t>黄源浩在北京大学、海外光学研究机构及麻省理工学院积累光学与三维成像研究经验，2013年回国创办奥比中光。</t>
  </si>
  <si>
    <t>海归光学测量研究团队创业，攻坚芯片、光学与算法。</t>
  </si>
  <si>
    <t>从结构光三维感知切入，组合深度引擎芯片、光学系统、算法及标定制造。2015年推出MX400深度引擎芯片，此处以2017年已知产品为准。</t>
  </si>
  <si>
    <t>自研深度引擎芯片，结合光学与标定输出三维信息。</t>
  </si>
  <si>
    <t>2015年已推出Astra三维视觉传感器，向智能终端和开发者提供模组及深度相机；当时应用市场仍需要培养。</t>
  </si>
  <si>
    <t>向机器人与智能终端销售深度相机，争取整机批量导入。</t>
  </si>
  <si>
    <t>复杂光照影响精度，客户是否愿承担额外硬件成本？</t>
  </si>
  <si>
    <t>真实天使融资早于2014年，首轮估值未查明。本次最早已核价格为2017-12-27原股东转让：9900万元购买1.50%股权，推算全股权价值66亿元（2018-02完成工商变更）；并非首轮投后估值。</t>
  </si>
  <si>
    <t>2026-10-15收盘70.28元，总股本412,834,732股，全股权市值290.13945亿元。2022 IPO以及后续定增募资不当作估值。</t>
  </si>
  <si>
    <t>公开估值/市值计算：4.40倍，未计后续稀释、优先权、税费和流动性折价。</t>
  </si>
  <si>
    <t>柔宇科技</t>
  </si>
  <si>
    <t>折光科技</t>
  </si>
  <si>
    <t>研发可卷曲的超薄柔性显示屏，改造屏幕形态与交互。</t>
  </si>
  <si>
    <t>刘自鸿等具有斯坦福及电子工程背景，2012年创办柔宇。团队从柔性电子工艺研发走向制造产线，游戏按用户选择在2016年C+轮进入。</t>
  </si>
  <si>
    <t>清华、斯坦福电子工程背景团队，长期研发柔性显示工艺。</t>
  </si>
  <si>
    <t>柔性显示涉及材料、薄膜器件、工艺及封装协同。技术样品、稳定良率与可盈利的大规模产能存在不同验证要求。</t>
  </si>
  <si>
    <t>协同设计材料、薄膜器件与电路，在超薄基底上制造显示屏。</t>
  </si>
  <si>
    <t>推进产线、消费电子和柔性应用产品，重资产投入需要规模订单及现金流支撑。2024年11月法院宣告柔宇相关三主体破产。</t>
  </si>
  <si>
    <t>自建柔性显示产线，面向消费电子与汽车客户推进应用。</t>
  </si>
  <si>
    <t>产线投入大，量产良率与订单能否撑起单位成本优势？</t>
  </si>
  <si>
    <t>公司首轮融资早于2016年；本游戏沿用2016年C+轮，金额与估值未核实。</t>
  </si>
  <si>
    <t>历年多轮融资与产线投入分开；累计融资总额未统一核。2024年相关主体宣告破产不等于已披露普通股清偿。</t>
  </si>
  <si>
    <t>用户人工确认：0.00倍，未计后续稀释、优先权、税费和流动性折价。</t>
  </si>
  <si>
    <t>具身VC投资模拟器 V4｜回报以同一法律主体、同一币种的最早可核估值/交易价格与截至2026-10-15的最新估值或市值计算。估算项单列公式与范围，不将融资额直接当作估值。</t>
  </si>
  <si>
    <t>单题投资额</t>
  </si>
  <si>
    <t>万元人民币</t>
  </si>
  <si>
    <t>结算倍数＝人工确认倍率，或终点估值÷进入估值×持股保留系数。默认保留系数100%，不计追加投资、分红、优先权、税费与退出折价；“待补”案例不自动结算。</t>
  </si>
  <si>
    <t>案例ID</t>
  </si>
  <si>
    <t>项目原型</t>
  </si>
  <si>
    <t>游戏进入年</t>
  </si>
  <si>
    <t>进入轮次/时点</t>
  </si>
  <si>
    <t>回报口径</t>
  </si>
  <si>
    <t>估值单位</t>
  </si>
  <si>
    <t>进入估值</t>
  </si>
  <si>
    <t>终点估值/市值</t>
  </si>
  <si>
    <t>人工指定倍率</t>
  </si>
  <si>
    <t>持股保留系数</t>
  </si>
  <si>
    <t>结算倍数</t>
  </si>
  <si>
    <t>净收益率</t>
  </si>
  <si>
    <t>单题投资（万元）</t>
  </si>
  <si>
    <t>模拟回收（万元）</t>
  </si>
  <si>
    <t>模拟净收益（万元）</t>
  </si>
  <si>
    <t>终点日期</t>
  </si>
  <si>
    <t>估值依据与计算逻辑</t>
  </si>
  <si>
    <t>主要不确定性</t>
  </si>
  <si>
    <t>VC41</t>
  </si>
  <si>
    <t>2019年首轮</t>
  </si>
  <si>
    <t>首轮投后估值 / 2026-10-15收盘总市值；未稀释毛估值增长</t>
  </si>
  <si>
    <t>亿元人民币</t>
  </si>
  <si>
    <t>2026-10-15</t>
  </si>
  <si>
    <t>2019年首轮注资4,000万元对应投后估值3.75亿元，不将融资额作为估值。02513于2026-10-15收盘509.00港元，市值2,481.82亿港元，按0.8528折2,116.50亿元人民币。</t>
  </si>
  <si>
    <t>汇率口径会影响倍率；未计后续稀释、优先权、税费与退出折价。来源：证券时报/新浪财经2026-01-08、Google Finance与Wise 2026-10-15。</t>
  </si>
  <si>
    <t>VC37</t>
  </si>
  <si>
    <t>2020-10天使轮</t>
  </si>
  <si>
    <t>天使轮投后估值 / 2026-10-15收盘总市值；未稀释毛估值增长</t>
  </si>
  <si>
    <t>2020-10天使轮投后估值4.80亿元；688802于2026-10-15收盘402.99元，Google Finance市值1,748.04亿元。两端同为人民币，1,748.04÷4.80。</t>
  </si>
  <si>
    <t>早期投后估值引自审计资料转引；仅反映估值增长，未计持股稀释、优先权、税费与退出折价。来源：创业邦2025-12-17、Google Finance 2026-10-15。</t>
  </si>
  <si>
    <t>VC01</t>
  </si>
  <si>
    <t>2016年天使轮（人工确认回报口径）</t>
  </si>
  <si>
    <t>用户人工确认真实投资/最新估值倍率，保留并单独标识</t>
  </si>
  <si>
    <t>待补</t>
  </si>
  <si>
    <t>沿用源表P列用户确认；用户未提供完整分子分母，不能反推凑数；用户确认依据最新轮估值；公开信息仅作旁证</t>
  </si>
  <si>
    <t>人工确认值尚不能从公开数据独立复算；不冒充公开估值测算</t>
  </si>
  <si>
    <t>VC15</t>
  </si>
  <si>
    <t>2013年Pre-A早期融资</t>
  </si>
  <si>
    <t>早期公开估值与上市总市值之比（汇率折算；非投资者真实回报）</t>
  </si>
  <si>
    <t>2026-10-15 15:11:07+08:00</t>
  </si>
  <si>
    <t>采用早期投资人采访披露3600万元估值；这是早期融资估值近似口径，不将400万元投资额当估值。；盘中总市值317.39456568亿港元×0.8570人民币/港元=272.00714278亿元人民币；÷0.36计算。</t>
  </si>
  <si>
    <t>早期3600万元投前/投后未分；汇率目前为检索摘录；盘中估值随行情波动。±10%入口口径误差会使倍率约687—840倍。</t>
  </si>
  <si>
    <t>VC12</t>
  </si>
  <si>
    <t>天使轮</t>
  </si>
  <si>
    <t>公开已完成估值已核实；早轮估值缺失，暂不计算</t>
  </si>
  <si>
    <t>2025-03-25</t>
  </si>
  <si>
    <t>首轮金额及持股比例均缺，不能从不明投资额假设10%—20%持股再套出一个倍数。；150亿元是最后可核到已完成融资且披露估值的节点；500亿元洽谈/收尾估值排除。</t>
  </si>
  <si>
    <t>首轮估值待IT桔子历史融资参考估值或交易文件补查；后续已完成轮次是否另有估值也需核实。</t>
  </si>
  <si>
    <t>VC40</t>
  </si>
  <si>
    <t>2023-06天使轮</t>
  </si>
  <si>
    <t>天使轮投后估值 / 最新已完成私募估值；未稀释毛估值增长</t>
  </si>
  <si>
    <t>亿美元</t>
  </si>
  <si>
    <t>2026-10-06</t>
  </si>
  <si>
    <t>2023-06天使轮投后估值3亿美元；2026-10-06报道最后一轮私募已完成、公司估值约500亿美元。两端均为美元，500÷3。</t>
  </si>
  <si>
    <t>终点报道未明确投前/投后，按“最新估值”参考；非现金退出，未计后续稀释、优先权、税费与退出折价。来源：澎湃新闻2026-06-08、彭博口径新浪财经2026-10-06。</t>
  </si>
  <si>
    <t>VC46</t>
  </si>
  <si>
    <t>2023年种子轮</t>
  </si>
  <si>
    <t>已完成估值已核实；早轮估值不足，暂不计算</t>
  </si>
  <si>
    <t>2026-05-25</t>
  </si>
  <si>
    <t>种子+天使+天使+累计数千万元，未得单轮金额和比例；不将三轮累计融资除以一个任意稀释率。；北京商报与甲子光年报道已完成本轮、估值超过20亿美元，取20亿美元下限。</t>
  </si>
  <si>
    <t>首轮估值需补；以美元为共同币种，未来若入口人民币须注明统一汇率口径。</t>
  </si>
  <si>
    <t>VC05</t>
  </si>
  <si>
    <t>估值资料不足：不沿用v3教学倍数</t>
  </si>
  <si>
    <t>首轮融资额190万/380万来源冲突，未披露投后估值或当轮持股；不能把任一融资金额直接当作进入估值。；2025-06最后一轮融资1.95亿元、投后52.95亿元；已上市主体2026-10-15约14:53市值129.9386亿港元，折111.35738亿元人民币。</t>
  </si>
  <si>
    <t>待IT桔子首轮参考估值/招股书增资价及股本核对；若只有190万元融资额，缺新增持股比例，暂无有充分依据的估值中点。</t>
  </si>
  <si>
    <t>VC49</t>
  </si>
  <si>
    <t>首轮估值和终点估值均未披露，暂不计算</t>
  </si>
  <si>
    <t>天使轮金额未披露；Pre-A的数千万融资额不能作为天使估值或替代估值。；9亿元为战略投资金额，75亿元为IPO拟募资额，均不能直接当作公司终点估值。</t>
  </si>
  <si>
    <t>需补招股书、交易公告中的增资价格和投后股本后计算。</t>
  </si>
  <si>
    <t>VC39</t>
  </si>
  <si>
    <t>2020年天使轮（最早明确投后估值）</t>
  </si>
  <si>
    <t>2020年天使轮投后估值16.46亿元；更早14亿元资料存在投前口径，未采用。688795于2026-10-15收盘321.27元，Google Finance市值1,668.60亿元。</t>
  </si>
  <si>
    <t>采用最早明确投后口径；未计后续稀释、优先权、税费与退出折价。来源：36氪2025-12-05、Google Finance 2026-10-15。</t>
  </si>
  <si>
    <t>VC27</t>
  </si>
  <si>
    <t>最早可核实融资/交易时点</t>
  </si>
  <si>
    <t>用户人工确认（非本轮独立核实）</t>
  </si>
  <si>
    <t>用户确认2016年天使轮0.16亿元人民币；未取得该笔交易合同。；保留用户选定100亿元人民币终点，不改成其他估值。</t>
  </si>
  <si>
    <t>用户确认的私人交易信息，未获取完整合同或估值日期，不伪装为公开证实。</t>
  </si>
  <si>
    <t>VC33</t>
  </si>
  <si>
    <t>天使轮，标准条款代理</t>
  </si>
  <si>
    <t>奇绩公开标准条款代理早期估值/最新已披露估值下限（估算）</t>
  </si>
  <si>
    <t>2026-03-06（最近有估值的公开轮次；后续有融资但估值未明）</t>
  </si>
  <si>
    <t>奇绩官网公开30万美元换7%；0.003亿美元/7%=0.042857亿美元，按2021年美元兑人民币约6.45作跨币种折算=0.27643亿元。6.3–6.6汇率敏感区间对应约354–370倍。未宣称帕西尼实际合同必然适用标准条款。；创业邦原文2026-03-06明确投后估值超100亿元，取100亿元为已披露下限，算得约361.76倍；这只是该方法下的保守终点，不能称估值精确100亿。</t>
  </si>
  <si>
    <t>较高：奇绩当前公开标准不等于2021帕西尼个别交易合同；汇率约值亦属估算；如IT桔子有早期参考估值应优先复核替换。</t>
  </si>
  <si>
    <t>VC13</t>
  </si>
  <si>
    <t>种子轮</t>
  </si>
  <si>
    <t>最新可得已完成融资估值取披露下限；入口不足，暂不计算</t>
  </si>
  <si>
    <t>2026-03-05</t>
  </si>
  <si>
    <t>只有数千万元融资范围，没有具体金额和出让比例；以任意融资中点÷任意持股比例会带来双重假设，暂不填倍率。；采用最近公开明确的超100亿元估值的100亿元下限，不冒充7月最新轮精确估值。</t>
  </si>
  <si>
    <t>入口估值缺；终点为下限且日期滞后于最新融资。</t>
  </si>
  <si>
    <t>VC16</t>
  </si>
  <si>
    <t>天使轮（非更早种子轮）</t>
  </si>
  <si>
    <t>最早可核实投资人披露估值与已完成融资估值下限之比</t>
  </si>
  <si>
    <t>2026-04-16</t>
  </si>
  <si>
    <t>华民投创始合伙人崔斌在2026天使投资大会披露：估值1亿元时参与天使投资。；上证报确认B1完成且估值逾100亿；保守以100亿下限÷1亿=100倍。9月200亿Pre-IPO尚待交割，排除。</t>
  </si>
  <si>
    <t>100倍是公开已完成轮次估值下限对应的保守数，不是最新Pre-IPO估值；投资人未明确1亿元为投前或投后。</t>
  </si>
  <si>
    <t>VC08</t>
  </si>
  <si>
    <t>A轮</t>
  </si>
  <si>
    <t>公开A轮融资额 ÷ 明示持股假设所得的进入估值 / 2026-10-15公开市值；未稀释毛估值增长</t>
  </si>
  <si>
    <t>以1亿美元按2017年平均约6.63元/美元折6.63亿元；假定该轮新增持股10%，则投后估值=6.63÷10%=66.3亿元。若新增持股为5%/15%，进入估值为132.6/44.2亿元，对应42.55/127.65倍。；腾讯证券15:24行情给出市值5,641.89亿元。</t>
  </si>
  <si>
    <t>公开报道的A轮金额和具体交割币种、占股未在本次取得的原始交易文件中复核。</t>
  </si>
  <si>
    <t>VC04</t>
  </si>
  <si>
    <t>沿用用户按真实投资最新轮估值确认的80倍；原始起点金额未提供，不反推编造。；沿用用户最新轮估值口径，终点金额及日期未提供。</t>
  </si>
  <si>
    <t>VC43</t>
  </si>
  <si>
    <t>早期设计软件阶段</t>
  </si>
  <si>
    <t>估值数据不足，暂不计算</t>
  </si>
  <si>
    <t>没有早轮估值或出让比例，不能把融资额、注册资本或产品用户数当作估值。；没有同主体最新市值或可核投后估值。</t>
  </si>
  <si>
    <t>需以股权融资交易或上市文件补齐。</t>
  </si>
  <si>
    <t>VC17</t>
  </si>
  <si>
    <t>2024年种子轮（人工确认口径）</t>
  </si>
  <si>
    <t>沿用源表P列用户确认；用户未提供完整分子分母，不能反推凑数；用户确认60倍按真实最新估值计算；公开20亿元是两轮融资金额而非估值，不据此凑分子。</t>
  </si>
  <si>
    <t>VC50</t>
  </si>
  <si>
    <t>天使阶段</t>
  </si>
  <si>
    <t>首轮估值未核，暂不计算</t>
  </si>
  <si>
    <t>2022（媒体估值线索）</t>
  </si>
  <si>
    <t>首轮金额、估值和出让比例缺失，不能以任意天使融资额作为公司估值。；110亿元仅为历史媒体估值线索，缺交易文件与投前/投后定义；保留为待核参考，不能支撑倍数计算。</t>
  </si>
  <si>
    <t>须通过IT桔子事件页、投资方公告或工商增资股本核对首轮和2022交易。</t>
  </si>
  <si>
    <t>VC18</t>
  </si>
  <si>
    <t>2023年天使轮首次交割</t>
  </si>
  <si>
    <t>已完成投后估值下限已核实；首轮估值缺口暂不计算</t>
  </si>
  <si>
    <t>2026-04-02</t>
  </si>
  <si>
    <t>千万美元融资为宽范围且含两次交割，未得出让比例；没有证据支持将融资额直接视为估值。；科创板日报明确本轮已完成、投后估值超200亿元，取200亿元下限。</t>
  </si>
  <si>
    <t>入口估值待IT桔子或历史增资协议；200亿为终点下限。</t>
  </si>
  <si>
    <t>VC42</t>
  </si>
  <si>
    <t>早期</t>
  </si>
  <si>
    <t>2026-07</t>
  </si>
  <si>
    <t>2024-09 Pre-A仅披露“数亿元融资”，未披露估值，不能反推入口。2026-07 A3战略轮后有报道估值达到10亿美元，作为最新可信终点参考。</t>
  </si>
  <si>
    <t>缺首轮投后估值，倍率保持待补。来源：亿欧2024-09-19、 新浪财经2026-08-04。</t>
  </si>
  <si>
    <t>VC20</t>
  </si>
  <si>
    <t>天使轮（最早已直接核实估值的轮次）</t>
  </si>
  <si>
    <t>公开历史投后估值 / 2026-10-15市值：未稀释毛估值增长倍数</t>
  </si>
  <si>
    <t>天使投资方同道齐创、道生资本、深创投、君溢创投等，投后1.5亿元；2022年末投后35.31亿元。；腾讯行情2026-10-15约14:54市值72.5046亿港元，按当日中间价0.8570折人民币</t>
  </si>
  <si>
    <t>未核完整后续稀释；越疆种子轮1000万元估值尚未直接核招股书，故暂以天使1.5亿元作保守且已核的进入点。</t>
  </si>
  <si>
    <t>VC48</t>
  </si>
  <si>
    <t>设备业务早期阶段</t>
  </si>
  <si>
    <t>没有可核的早轮估值或增资价格。；没有可核的末轮投后估值或市值。</t>
  </si>
  <si>
    <t>需补IT桔子融资事件、投资方新闻稿或工商增资资料。</t>
  </si>
  <si>
    <t>VC31</t>
  </si>
  <si>
    <t>2017早期融资线索待核</t>
  </si>
  <si>
    <t>缺起终点估值，暂不计算</t>
  </si>
  <si>
    <t>缺真实融资定价与股比，不以数百万元/数千万元融资额冒充估值。；C1/C2数亿元合计融资是募集现金，不是企业估值；自媒体40亿尚未获得公司/机构背书。</t>
  </si>
  <si>
    <t>早期和最新估值均需IT桔子/合同补证；原教学20倍删除，不能默认1倍或0倍。</t>
  </si>
  <si>
    <t>VC02</t>
  </si>
  <si>
    <t>用户明确确认首轮投后估值2亿元人民币。；用户明确确认最新估值80亿元人民币。</t>
  </si>
  <si>
    <t>公开天使+轮2亿美元与用户首轮2亿元人民币不同，不可混同；用户数据沿用但日期、具体交易待合同佐证。</t>
  </si>
  <si>
    <t>VC06</t>
  </si>
  <si>
    <t>天使融资750万元是融资额，不是估值；未查获当轮新增持股比例或单位股权成本，故不硬设10%/20%稀释生成倍数。；2021-12 D轮融资5.8亿元、投后40.8亿元；2026-10-15约14:54港股02670市值46.8085亿港元，折40.114885亿元人民币。</t>
  </si>
  <si>
    <t>待IT桔子首轮参考估值或招股书历史股本表；已知2021年C轮22.89亿、D轮40.8亿，可计算晚轮估值变化但不能替代早期回报。</t>
  </si>
  <si>
    <t>VC10</t>
  </si>
  <si>
    <t>天使轮（金额公开、估值以假设还原）</t>
  </si>
  <si>
    <t>公开融资额 ÷ 明示持股假设所得的进入估值 / 公开报道的最新估值；未稀释毛估值增长</t>
  </si>
  <si>
    <t>2024</t>
  </si>
  <si>
    <t>早期融资1,000万美元，假定本轮新增持股10%，投后估值=0.1亿美元÷10%=1亿美元；若占股5%/15%，进入估值为2/0.667亿美元，对应12.5/37.5倍。；采用2024年B轮后公开报道的约25亿美元估值；没有用B轮融资金额替代估值。</t>
  </si>
  <si>
    <t>早期融资金额和25亿美元估值均需以IT桔子事件详情或公司交易文件进一步复核；截至截止日不声称为现金退出。</t>
  </si>
  <si>
    <t>VC22</t>
  </si>
  <si>
    <t>2026-04-23</t>
  </si>
  <si>
    <t>天使金额/比例未核实；2018年A轮5000万元融资额也不等于估值。若IT桔子有可见参考估值可另注明平台估算。；官网与新闻披露投后“突破100亿元”；以100亿元作为可见下界，不当成精确估值。</t>
  </si>
  <si>
    <t>进入估值待核；终点100亿元是下界。无可辩护的首轮估值区间，倍数留空。</t>
  </si>
  <si>
    <t>VC19</t>
  </si>
  <si>
    <t>A1轮（最早可核实估值轮次）</t>
  </si>
  <si>
    <t>据招股书，2016年A1轮融资4250万元、投后估值2.1亿元；2022-12 E1轮投后150亿元。；腾讯行情2026-10-15约14:54市值76.7254亿港元，按当日中间价0.8570折人民币</t>
  </si>
  <si>
    <t>媒体直接引述招股书A1投后2.1亿元；2015创办期是否另有未公开轮次待核，因此称最早可核实估值轮次。未扣后续股本稀释。</t>
  </si>
  <si>
    <t>VC30</t>
  </si>
  <si>
    <t>定价增资（非首轮）</t>
  </si>
  <si>
    <t>可核增资股份比例反推投后估值/收盘总市值</t>
  </si>
  <si>
    <t>以2.5亿元认购531.25万股、投后9031.25万股：2.5/(531.25/9031.25)=42.5亿元。披露每股47.06元为四舍五入，优先用总对价和精确股数。；234元×183330125股÷1e8=428.99249亿元，约10.09倍。</t>
  </si>
  <si>
    <t>2014谱润入股估值未取得；原表2016为游戏情景年，没有对应真实定价，因此改2018可核交易年。</t>
  </si>
  <si>
    <t>VC45</t>
  </si>
  <si>
    <t>2024-01天使轮</t>
  </si>
  <si>
    <t>天使轮投后估值 / 最近公开投后估值；未稀释毛估值增长</t>
  </si>
  <si>
    <t>2026-06（2026-09后续融资未披露新估值）</t>
  </si>
  <si>
    <t>2024-01天使轮投后2.8亿元（另有投前2.3亿元口径，未混用）；2026-06 B+首轮后投后77.4亿元。2026-09后续融资未披露新估值，故不更新终点。</t>
  </si>
  <si>
    <t>两端均为公开投后口径；未计后续稀释、优先权、税费与退出折价。来源：21财经、财新检索结果。</t>
  </si>
  <si>
    <t>VC29</t>
  </si>
  <si>
    <t>早期轮次估值待补</t>
  </si>
  <si>
    <t>估值证据不足，暂不计算</t>
  </si>
  <si>
    <t>2026-10-14美股收盘</t>
  </si>
  <si>
    <t>已核2017 A轮1.1亿元人民币，但未见该轮出让股份或投后估值；不能将融资额当估值或任设20%稀释。；腾讯HSAI行情全股权市值21.90562亿美元；需与同币种入场估值比较，不能把人民币1.1亿融资直接作分母。</t>
  </si>
  <si>
    <t>缺早期投后估值/持股比例，原表教学25倍作废而不默认1倍。</t>
  </si>
  <si>
    <t>VC44</t>
  </si>
  <si>
    <t>2026-10-05</t>
  </si>
  <si>
    <t>2023-09天使轮与2024-09 A轮均未披露投后估值，不能反推入口。2026-10-05媒体报道称IPO前估值143亿元；与同期其他口径存在差异，作为待核参考终点。</t>
  </si>
  <si>
    <t>缺首轮投后估值，倍率保持待补；143亿元为媒体报道、未得公司或交易文件交叉验证。</t>
  </si>
  <si>
    <t>VC32</t>
  </si>
  <si>
    <t>用户确认52亿元终点、20倍倍率，倒算起点52/20=2.6亿元；该2.6亿是代数反推值，不是公开首轮披露。；用户人工确认52亿元人民币；未提供估值日期，不编造日期。</t>
  </si>
  <si>
    <t>VC14</t>
  </si>
  <si>
    <t>2024年种子轮</t>
  </si>
  <si>
    <t>公开已完成轮次估值；早轮估值缺失，暂不计算</t>
  </si>
  <si>
    <t>2026-04-07</t>
  </si>
  <si>
    <t>近2亿元是种子+天使合计，既无法切分首轮金额，也没有首轮出让比例，不据此强估。；南都记者对已完成4月新一轮融资后估值的报道：200亿元。</t>
  </si>
  <si>
    <t>首轮估值缺口；末轮估值是媒体采访口径。</t>
  </si>
  <si>
    <t>VC07</t>
  </si>
  <si>
    <t>战略投资（IT桔子可见最早轮次）</t>
  </si>
  <si>
    <t>公开融资额 ÷ 明示持股假设所得的进入估值 / 2026-10-15公开市值；未稀释毛估值增长</t>
  </si>
  <si>
    <t>以156.5亿元新增资金占投后10%作透明、可替换的基准，得到投后1,565亿元；10%不是已披露事实。若新增持股为5%/15%，进入估值为3,130/1,043.33亿元，对应9.45/28.36倍。；腾讯行情原始串的市值字段为29,590.68亿元；与当日“市值跌破3万亿”公开行情报道方向一致。</t>
  </si>
  <si>
    <t>进入点不是公司成立时的首轮，只是IT桔子本次可复核的最早大额股权事件；取得该轮工商增资股数或交易文件后应替换10%假设。</t>
  </si>
  <si>
    <t>VC21</t>
  </si>
  <si>
    <t>2016年顺为资本早期定价轮（最早满足5000万元门槛）</t>
  </si>
  <si>
    <t>公开历史投后估值 / 2026-10-15收盘总市值；未稀释毛估值增长</t>
  </si>
  <si>
    <t>2015-03天津金米入股投后约4,380万元，低于5,000万元门槛，按规则排除。招股书口径的2016年顺为资本轮投后估值14.82亿元；2026-10-15收盘价103.10元×总股本259,567,776股=267.614377亿元。</t>
  </si>
  <si>
    <t>入口采用首个满足门槛的公开定价轮，不等同于最早融资；未扣后续稀释、优先权、税费和流动性折价。来源：搜狐2023-01-16转引招股书、腾讯行情2026-10-15。</t>
  </si>
  <si>
    <t>VC47</t>
  </si>
  <si>
    <t>2019年A轮（最早公开可用估值）</t>
  </si>
  <si>
    <t>A轮后估值 / 最新估值下限（跨币种折算）；未稀释毛估值增长</t>
  </si>
  <si>
    <t>2026-03</t>
  </si>
  <si>
    <t>2019年A轮后报道称公司估值升至4亿美元；2026-03最新估值超120亿元人民币，按约7.2元/美元折超16.7亿美元，取16.7亿美元下限。</t>
  </si>
  <si>
    <t>早期“升至4亿美元”未明确投前/投后，且跨币种折算仅作估算；终点为下限。未计后续稀释、优先权、税费与退出折价。来源：中国医药创新促进会、杭州政协及新浪财经检索结果。</t>
  </si>
  <si>
    <t>VC35</t>
  </si>
  <si>
    <t>2018年早期轮（最早公开可用估值下限）</t>
  </si>
  <si>
    <t>早期估值下限 / 2026-10-15收盘总市值；按下限计算的最大倍率</t>
  </si>
  <si>
    <t>2018年公开资料称公司估值超过10亿美元，取10亿美元下限；2026-10-15港股市值374.27亿港元，折约48.0亿美元。因入口为“超过10亿美元”，48÷10=4.80倍是上限。</t>
  </si>
  <si>
    <t>入口投前/投后未明且为下限，真实倍数应低于4.80倍；未计后续稀释、优先权、税费与退出折价。来源：公开融资报道、2026-10-15港股行情。</t>
  </si>
  <si>
    <t>VC38</t>
  </si>
  <si>
    <t>2017-09 A1轮</t>
  </si>
  <si>
    <t>A1轮投后估值折人民币 / 2026-10-15收盘总市值；未稀释毛估值增长</t>
  </si>
  <si>
    <t>2017-09 A1轮投后5亿美元；按USD/HKD=7.80、HKD/CNY=0.8528折33.2592亿元人民币。09660于2026-10-15收盘3.84港元、市值607.99亿港元，折518.49亿元人民币。</t>
  </si>
  <si>
    <t>汇率换算会影响倍率；未计后续稀释、优先权、税费与退出折价。来源：新浪财经2024-10-25、Google Finance与Wise 2026-10-15。</t>
  </si>
  <si>
    <t>VC23</t>
  </si>
  <si>
    <t>A轮/早期机构轮</t>
  </si>
  <si>
    <t>2018-05</t>
  </si>
  <si>
    <t>弱来源称2013年3亿美元，但未获直接交易或可信机构验证；首轮金额“数千万美元”亦不足推断唯一估值。；2018融资规模10亿美元；若150亿美元投前加10亿新钱则160亿美元投后。若150亿美元本已是投后，则终点150亿美元。终点区间150—160亿美元。</t>
  </si>
  <si>
    <t>不能在2013年3亿美元尚未确认时写50倍；也不能把榜单估值或D类无息债权融资混同普通股定价。待IT桔子或权威历史交易补证。</t>
  </si>
  <si>
    <t>VC03</t>
  </si>
  <si>
    <t>2026年早期融资（用户真实投资口径）</t>
  </si>
  <si>
    <t>VC11</t>
  </si>
  <si>
    <t>科创板IPO（非首轮VC）</t>
  </si>
  <si>
    <t>IPO发行价对应市值 / 2026-10-15公开市值；公开市场未稀释毛估值增长</t>
  </si>
  <si>
    <t>发行价36.18元/股×发行前后总股本约8,037.437万股，得到约29.08亿元；这是可交易、可核的IPO进入点。；腾讯行情15:24显示股价284.60元、总股本80,374,370股，市值=284.60×80,374,370≈228.75亿元。</t>
  </si>
  <si>
    <t>未把IPO倍率误称为早期VC回报；若需早期游戏进入点，须从招股书历史增资表补全真实单位股权成本。</t>
  </si>
  <si>
    <t>VC09</t>
  </si>
  <si>
    <t>股权转让，非首轮</t>
  </si>
  <si>
    <t>最早可核同主体股权转让隐含估值/最新收盘总市值</t>
  </si>
  <si>
    <t>招股意向书p68披露9900万元购买1.50%，0.99/0.015=66亿元。；腾讯行情收盘70.28元×总股本412834732股÷1e8=290.13945亿元。</t>
  </si>
  <si>
    <t>2013天使及2016等更早融资估值缺原始交易条款，以2017年有价转让作为替代；若补得更早估值应同步改进入年及文案。</t>
  </si>
  <si>
    <t>VC36</t>
  </si>
  <si>
    <t>早期泊车业务阶段</t>
  </si>
  <si>
    <t>估值与清偿数据不足，暂不计算；不沿用V3的0.10倍教学回收情景</t>
  </si>
  <si>
    <t>首轮投后估值或当轮持股比例缺失，不能从融资新闻或注册资本制造分母。；重整并不天然意味着公司普通股价值为零；需要法院裁定、重整计划和实际清偿资料。</t>
  </si>
  <si>
    <t>需取得公开法院文书或管理人公告及历史增资交易价格后重算。</t>
  </si>
  <si>
    <t>VC24</t>
  </si>
  <si>
    <t>主体起步观察期；未证实独立VC融资</t>
  </si>
  <si>
    <t>有破产清算程序证据，但独立进入估值及最终股权回收均缺失，暂停数值</t>
  </si>
  <si>
    <t>深兰机器人（上海）有限公司成立于2018-05-04；独立首轮VC股权融资未证实。进入年改为主体成立年，原表早于成立年份的教学进入不再沿用。；法院受理破产清算不等于最终分配完成；尚未找到最终清偿方案证明普通股回收为零。</t>
  </si>
  <si>
    <t>不能因经营困难直接设0倍，不能用集团融资或估值搭配子公司结局；需独立交易资料及最终分配报告。</t>
  </si>
  <si>
    <t>VC25</t>
  </si>
  <si>
    <t>达闼机器人（北京）有限公司成立于2020-09-27；独立首轮VC股权融资未证实。进入年改为主体成立年，原表早于成立年份的教学进入不再沿用。；法院受理破产清算不等于最终分配完成；尚未找到最终清偿方案证明普通股回收为零。</t>
  </si>
  <si>
    <t>VC26</t>
  </si>
  <si>
    <t>首轮估值与最终普通股清偿未核，不能沿用0倍</t>
  </si>
  <si>
    <t>整轮融资超9000万、熊猫资本单家7000万；尚缺首轮新增持股比例/估值。；破产程序尚在债权申报及会议阶段；2021年5亿美元估值是历史融资峰值，不能作为现值；无最终股权回收结果。</t>
  </si>
  <si>
    <t>缺首轮投后估值及最终清偿报告。即使存在资不抵债报道，也不能把真实回报擅定0倍。</t>
  </si>
  <si>
    <t>VC34</t>
  </si>
  <si>
    <t>A轮前后</t>
  </si>
  <si>
    <t>无可复核估值终点，暂不计算；不沿用V3的教学0倍</t>
  </si>
  <si>
    <t>10亿元仅为融资额，不是投后估值；没有新增持股比例，不能倒推唯一进入估值。；全员停工报道说明经营已出现重大挫折，但不等于已宣告破产、清算完成或普通股实际归零。</t>
  </si>
  <si>
    <t>取得法院公开文书、工商注销/重整结果或投资人回收信息后，再按真实清偿率计算。</t>
  </si>
  <si>
    <t>VC28</t>
  </si>
  <si>
    <t>C+轮（用户选定）</t>
  </si>
  <si>
    <t>本游戏依用户选择以2016年C+轮进入，非真实首轮。；用户确认普通股回收按0计。2024年破产支持重大损失方向，但没有普通股最终清偿公告，0为用户确认损失处理。</t>
  </si>
  <si>
    <t>破产不自动等同于已披露普通股清偿率0；此处是用户确认减值处理。</t>
  </si>
  <si>
    <t>资料口径｜公开交易、上市公司市值、IT桔子融资记录、用户人工确认与公式估算分开标示。估算不使用融资金额直接代替估值，且不代表实际投资者已实现收益。</t>
  </si>
  <si>
    <t>项目原型/法律主体</t>
  </si>
  <si>
    <t>卡片进入时点</t>
  </si>
  <si>
    <t>回报方法</t>
  </si>
  <si>
    <t>进入估值及逻辑</t>
  </si>
  <si>
    <t>终点估值及逻辑</t>
  </si>
  <si>
    <t>未稀释倍数</t>
  </si>
  <si>
    <t>稀释与收益边界</t>
  </si>
  <si>
    <t>来源与证据</t>
  </si>
  <si>
    <t>V4说明</t>
  </si>
  <si>
    <t>2016年，2016年天使轮（人工确认回报口径）</t>
  </si>
  <si>
    <t>2016；估值未披露；沿用源表P列用户确认；用户未提供完整分子分母，不能反推凑数</t>
  </si>
  <si>
    <t>估值未披露；用户确认依据最新轮估值；公开信息仅作旁证</t>
  </si>
  <si>
    <t>估值倍数未计后续稀释、费用、税及流动性折价，不等于真实投资者实现回报</t>
  </si>
  <si>
    <t>2026-10-15｜用户人工确认游戏内投资回报P列｜人工指定倍率。1035.00倍，净收益率103400.0%。计算输入及假设见回报测算；不代表已实现现金退出。｜具身VC投资模拟器_题库v3.1.xlsx#题库底稿
2025-02-27｜宇树科技官方澄清：融资无中间方，老股转让风波真相几何？｜正文记载尹方鸣200万元早期天使投资；未给股权比例和估值。不能将200万元当估值。｜https://business.sohu.com/a/864434305_121850782</t>
  </si>
  <si>
    <t>V4：已给出可复核回报输入；保留用户人工确认。</t>
  </si>
  <si>
    <t>2022年，最早可核实融资/交易时点</t>
  </si>
  <si>
    <t>2亿元人民币；用户明确确认首轮投后估值2亿元人民币。</t>
  </si>
  <si>
    <t>80亿元人民币；用户明确确认最新估值80亿元人民币。</t>
  </si>
  <si>
    <t>估值增长比未计后续融资稀释、分红、税费及优先权，不等于投资人已实现现金收益。</t>
  </si>
  <si>
    <t>2022-12-08｜辉羲智能完成超5000万美元天使+轮融资，小米战略领投｜原文明示天使+轮项目估值2亿美元、2022-04成立及三名创始人背景。｜https://www.cyzone.cn/article/707678.html
2025-01-08｜辉羲智能完成A1轮融资｜A1轮亦庄产投领投，商汤、朗玛峰、卓源亚洲跟投；未披露80亿估值。｜https://finance.sina.cn/tech/2025-01-08/detail-ineefzcx7243380.d.html</t>
  </si>
  <si>
    <t>2026年，2026年早期融资（用户真实投资口径）</t>
  </si>
  <si>
    <t>2026；估值未披露；沿用源表P列用户确认；用户未提供完整分子分母，不能反推凑数</t>
  </si>
  <si>
    <t>2026-10-15｜用户人工确认游戏内投资回报P列｜人工指定：8倍，这是按照真实投资的最新一轮估值来计算的｜具身VC投资模拟器_题库v3.1.xlsx#题库底稿
2026-07-28｜德塔智能完成近5亿元天使++轮融资（中国证券报）｜公司2026年1月成立；创始人马晓健；半年完成第六轮近5亿元天使++融资；用于模型、数采设备、数据闭环与研发；未披露估值。｜https://www.cs.com.cn/ssgs/01/2026/07/28/detail_2026072810027759.html
2026-07-28｜德塔智能完成近5亿元天使++轮融资，成立半年融资六轮（钛媒体）｜正文核到BIGAI孵化、人形基础模型与自研3D世界引擎路线；聚焦全身协同。未写后续融资成败到进入时点卡片。｜http://www.zaker.cn/news/article_new.php?pk=6a68a0528e9f094dc745054d</t>
  </si>
  <si>
    <t>2024年，最早可核实融资/交易时点</t>
  </si>
  <si>
    <t>估值未披露；沿用用户按真实投资最新轮估值确认的80倍；原始起点金额未提供，不反推编造。</t>
  </si>
  <si>
    <t>估值未披露；沿用用户最新轮估值口径，终点金额及日期未提供。</t>
  </si>
  <si>
    <t>2026-04-07｜首形科技完成数亿元A1轮融资｜报道2024-06成立、2024-10天使投资及2026 A1轮融资和仿生面部研发方向。｜https://www.thepaper.cn/newsDetail_forward_32915673</t>
  </si>
  <si>
    <t>2015年，天使轮</t>
  </si>
  <si>
    <t>2015；估值未披露；首轮融资额190万/380万来源冲突，未披露投后估值或当轮持股；不能把任一融资金额直接当作进入估值。</t>
  </si>
  <si>
    <t>2026-10-15；111.35738亿元人民币；2025-06最后一轮融资1.95亿元、投后52.95亿元；已上市主体2026-10-15约14:53市值129.9386亿港元，折111.35738亿元人民币。</t>
  </si>
  <si>
    <t>未获完整股本变动表时仅计算公司股权估值增长，不声称为投资人实际收益；未扣稀释、税费和退出折价。</t>
  </si>
  <si>
    <t>2025-10-30｜山东县城，即将冲出一个明星IPO｜天使梅花独家190万元；2025-06最后融资1.95亿、投后52.95亿；创始经历、控制系统切入及2016年XB-6。｜https://finance.sina.com.cn/tech/roll/2025-10-30/doc-infvrtfu8029940.shtml
2024-12-27｜获国家制造业基金入股！珞石机器人启动A股IPO辅导｜庹华与曹华、韩峰涛共同创办，团队与技术路线。｜https://www.cls.cn/detail/1902315?app=stib
2018-09-20｜珞石完成1.6亿人民币B轮融资｜旧数据库称2015-07天使380万元；与2025年引招股书190万元不一致，仅作待核线索。｜https://www.fromgeek.com/vc/194456.html
2026-10-15｜腾讯证券行情｜03752股价49.00港元、总股本265180890、市值129.9386亿港元，14:53:26。｜https://qt.gtimg.cn/q=hk03752,hk02670,hk02590,hk02432,sh688169
2026-10-15｜港元人民币中间价｜1港元=0.8570元人民币。｜https://forex.cngold.org/c/2026-10-15/c10816430.html</t>
  </si>
  <si>
    <t>V4：估值资料待补，不加入自动结算；</t>
  </si>
  <si>
    <t>2014年，天使轮</t>
  </si>
  <si>
    <t>2014-07；估值未披露；天使融资750万元是融资额，不是估值；未查获当轮新增持股比例或单位股权成本，故不硬设10%/20%稀释生成倍数。</t>
  </si>
  <si>
    <t>2026-10-15；40.114885亿元人民币；2021-12 D轮融资5.8亿元、投后40.8亿元；2026-10-15约14:54港股02670市值46.8085亿港元，折40.114885亿元人民币。</t>
  </si>
  <si>
    <t>2025-03-24｜AI概念破题：全球最大酒店机器人提供商赴港IPO｜2014-07安徽人工智能公司及北京洋葱投资750万元；D轮每股66元、投后40.8亿元。搜索索引可读，正文抓取有限。｜https://business.sohu.com/a/875039710_425901
2025-03-24｜云迹科技冲刺港股IPO：阿里腾讯携程等巨头参投，估值41亿｜2021-08 C轮每股38.86/43.15元，投后22.89亿；D轮投后40.8亿。｜https://finance.sina.com.cn/stock/newstock/2025-03-24/doc-ineqtwts3538162.shtml
2025-10-15｜十年磨一股，云迹估值仍不及宇树？｜成立2014年，2015年推出酒店机器人；为进入时点与后续成熟产品作边界。｜https://www.thepaper.cn/newsDetail_forward_31784213
2026-10-15｜腾讯证券行情｜02670股价6.750港元×总股本693459820=46.8085亿港元，14:54:15。｜https://qt.gtimg.cn/q=hk03752,hk02670,hk02590,hk02432,sh688169
2026-10-15｜港元人民币中间价｜1港元=0.8570元人民币。｜https://forex.cngold.org/c/2026-10-15/c10816430.html</t>
  </si>
  <si>
    <t>2020年，战略投资（IT桔子可见最早轮次）</t>
  </si>
  <si>
    <t>2020-12-16；1565亿元人民币；以156.5亿元新增资金占投后10%作透明、可替换的基准，得到投后1,565亿元；10%不是已披露事实。若新增持股为5%/15%，进入估值为3,130/1,043.33亿元，对应9.45/28.36倍。</t>
  </si>
  <si>
    <t>2026-10-15；29590.68亿元人民币；腾讯行情原始串的市值字段为29,590.68亿元；与当日“市值跌破3万亿”公开行情报道方向一致。</t>
  </si>
  <si>
    <t>公司估值增长口径，未计算后续融资稀释、优先权、税费或锁定期折价。</t>
  </si>
  <si>
    <t>2026-10-15｜IT桔子：长鑫科技/长鑫存储｜页面显示公司2016年成立；可见融资表列2020-12-16战略投资156.5亿元、2022-02-11战略投资186.09亿元及投资方。｜https://www.itjuzi.com/company/35257711
2026-10-15｜腾讯证券行情：688825 长鑫科技｜15:24行情原始串中市值字段29,590.68亿元；仅作终点市值，不作历史融资估值。｜https://qt.gtimg.cn/q=sh688825
2026-10-15｜长鑫存储官网｜公司产品与DRAM一体化制造定位的主体核对。｜https://www.cxmt.com/</t>
  </si>
  <si>
    <t>V4：已给出可复核回报输入；</t>
  </si>
  <si>
    <t>2017年，A轮</t>
  </si>
  <si>
    <t>2017；66.3亿元人民币；以1亿美元按2017年平均约6.63元/美元折6.63亿元；假定该轮新增持股10%，则投后估值=6.63÷10%=66.3亿元。若新增持股为5%/15%，进入估值为132.6/44.2亿元，对应42.55/127.65倍。</t>
  </si>
  <si>
    <t>2026-10-15；5641.89亿元人民币；腾讯证券15:24行情给出市值5,641.89亿元。</t>
  </si>
  <si>
    <t>为避免公式误读，游戏应采用5,641.89亿元 ÷ 66.3亿元，即85.10倍；未扣后续稀释。</t>
  </si>
  <si>
    <t>2026-10-15｜寒武纪官网｜用于主体、智能芯片及软件平台定位核验。｜https://www.cambricon.com/
2026-10-15｜腾讯证券行情：688256 寒武纪｜15:24行情原始串市值字段5,641.89亿元。｜https://qt.gtimg.cn/q=sh688256
2026-10-15｜上交所：寒武纪公司信息｜上市主体和证券代码交叉核验。｜https://www.sse.com.cn/assortment/stock/list/info/company/index.shtml?COMPANY_CODE=688256</t>
  </si>
  <si>
    <t>2026年，股权转让，非首轮</t>
  </si>
  <si>
    <t>2017-12-27（协议；2018-02-08变更）；66亿元人民币；招股意向书p68披露9900万元购买1.50%，0.99/0.015=66亿元。</t>
  </si>
  <si>
    <t>2026-10-15；290.1402496496亿元人民币；腾讯行情收盘70.28元×总股本412834732股÷1e8=290.13945亿元。</t>
  </si>
  <si>
    <t>全公司估值比4.40倍未扣后续融资稀释、优先权、分红及税费；历史投资者实际股份回报会不同。</t>
  </si>
  <si>
    <t>2022-06-20｜奥比中光首次公开发行股票并在科创板上市招股意向书｜p68：2017-12-27/2018-02股权转让，9900万元=1.50%；p69-70：2018-05上海云鑫73333.33万元认购10%；产品和创始人背景。｜https://pdf.dfcfw.com/pdf/H2_AN202206191573217070_1.pdf
2026-10-15｜腾讯股票行情688322｜收盘70.28；总股本412834732；总市值290.14亿元。原始快照另存。｜https://qt.gtimg.cn/q=sh688322</t>
  </si>
  <si>
    <t>2022年，天使轮（金额公开、估值以假设还原）</t>
  </si>
  <si>
    <t>2022；1亿美元；早期融资1,000万美元，假定本轮新增持股10%，投后估值=0.1亿美元÷10%=1亿美元；若占股5%/15%，进入估值为2/0.667亿美元，对应12.5/37.5倍。</t>
  </si>
  <si>
    <t>2024；25亿美元；采用2024年B轮后公开报道的约25亿美元估值；没有用B轮融资金额替代估值。</t>
  </si>
  <si>
    <t>公司投后估值增长，未扣后续融资稀释、优先权及流动性折价。</t>
  </si>
  <si>
    <t>2026-10-15｜MiniMax官网｜用于产品主体和多模态模型定位核对。｜https://www.minimaxi.com/
2026-10-15｜Reuters Technology融资报道索引｜用于复核2024年中国大模型公司融资与估值报道；具体交易金额仍需在最终数据锁定前逐条回访原文。｜https://www.reuters.com/technology/</t>
  </si>
  <si>
    <t>2020年，科创板IPO（非首轮VC）</t>
  </si>
  <si>
    <t>2020-07；29.08亿元人民币；发行价36.18元/股×发行前后总股本约8,037.437万股，得到约29.08亿元；这是可交易、可核的IPO进入点。</t>
  </si>
  <si>
    <t>2026-10-15；228.75亿元人民币；腾讯行情15:24显示股价284.60元、总股本80,374,370股，市值=284.60×80,374,370≈228.75亿元。</t>
  </si>
  <si>
    <t>这是二级市场市值变化，并非早期投资人的实际回报，未扣锁定期、交易成本或税费。</t>
  </si>
  <si>
    <t>2026-10-15｜国盾量子官网｜用于量子通信产品和主体定位核验。｜https://www.quantum-info.com/
2026-10-15｜腾讯证券行情：688027 国盾量子｜15:24股价284.60元、总股本80,374,370股，可复算市值约228.75亿元。｜https://qt.gtimg.cn/q=sh688027
2026-10-15｜上交所：国盾量子公司信息｜科创板上市主体和证券代码交叉核验。｜https://www.sse.com.cn/assortment/stock/list/info/company/index.shtml?COMPANY_CODE=688027</t>
  </si>
  <si>
    <t>2023年，天使轮</t>
  </si>
  <si>
    <t>2023-03；估值未披露；首轮金额及持股比例均缺，不能从不明投资额假设10%—20%持股再套出一个倍数。</t>
  </si>
  <si>
    <t>2025-03-25；150亿元人民币；150亿元是最后可核到已完成融资且披露估值的节点；500亿元洽谈/收尾估值排除。</t>
  </si>
  <si>
    <t>2025-03-25｜智元机器人估值达150亿元，由华为公司原副总裁邓泰华接任法人代表（中国经营报）｜记者报道2023年3月天使轮，成立一年五轮；2025年腾讯领投新一轮已完成工商变更，估值达到150亿元。原文未披露天使金额或估值。｜https://finance.sina.com.cn/jjxw/2025-03-25/doc-ineqwfyk6838560.shtml
2026-10-13｜独家｜智元启动新融资，估值500亿元，IPO暂缓（财经杂志）｜360搜索索引载明融资10—15亿元、估值约500亿元且接近收尾；正文访问403。500亿元列为未完成参考，不作为已完成融资终点。｜https://www.163.com/dy/article/L95268H60519DDOA.html</t>
  </si>
  <si>
    <t>2023年，种子轮</t>
  </si>
  <si>
    <t>2023—2024年初；估值未披露；只有数千万元融资范围，没有具体金额和出让比例；以任意融资中点÷任意持股比例会带来双重假设，暂不填倍率。</t>
  </si>
  <si>
    <t>2026-03-05；100亿元人民币；采用最近公开明确的超100亿元估值的100亿元下限，不冒充7月最新轮精确估值。</t>
  </si>
  <si>
    <t>2024-10-16｜星动纪元完成近3亿元Pre-A轮融资（财联社）｜载明此前世纪金源领投、图灵创投跟投的数千万元种子轮，以及超亿元天使轮；未披露种子估值。｜https://finance.eastmoney.com/a/202410163207838243.html
2024-10-16｜阿里领投！清华系具身智能公司星动纪元完成近3亿元Pre-A轮融资（钛媒体）｜正文核到种子数千万元、天使超亿元；团队由清华交叉信息研究院陈建宇创办。｜https://business.sohu.com/a/816981249_116132
2026-07-06｜星动纪元完成新一轮10亿元融资，2026年来累计融资近50亿（华尔街见闻）｜7月已完成10亿元新融资；3月完成10亿元融资时估值突破百亿元；最新轮未披露新估值。不得把接近50亿元累计融资当估值。｜https://m.163.com/dy/article/L15N8ODO05198NMR.html?referFrom</t>
  </si>
  <si>
    <t>2024年，2024年种子轮</t>
  </si>
  <si>
    <t>2024；估值未披露；近2亿元是种子+天使合计，既无法切分首轮金额，也没有首轮出让比例，不据此强估。</t>
  </si>
  <si>
    <t>2026-04-07；200亿元人民币；南都记者对已完成4月新一轮融资后估值的报道：200亿元。</t>
  </si>
  <si>
    <t>2026-04-10｜千寻智能30天融资30亿元，马云、雷军旗下公司联合领投（经济参考报）｜4月7日完成10亿元；顺为2024年参与种子轮，此后天使、Pre-A、A及本轮连续参与。未披露首轮估值。｜http://jjckb.xinhuanet.com/20260410/8f978f88dc76476db9f5d2430e66934d/c.html
2026-04-07｜千寻智能融资10亿、估值翻番，头部机器人公司吸金凶猛（南都）｜记者报道新一轮已完成，融资后估值企及200亿元；2月100亿元。正文未披露首轮投后估值。｜http://m.mp.oeeee.com/a/BAAFRD0000202604071552496.html</t>
  </si>
  <si>
    <t>2013年，2013年Pre-A早期融资</t>
  </si>
  <si>
    <t>2013；0.36亿元人民币；采用早期投资人采访披露3600万元估值；这是早期融资估值近似口径，不将400万元投资额当估值。</t>
  </si>
  <si>
    <t>2026-10-15 15:11:07+08:00；272.00714278亿元人民币；盘中总市值317.39456568亿港元×0.8570人民币/港元=272.00714278亿元人民币；÷0.36计算。</t>
  </si>
  <si>
    <t>2025-01-04｜4天股价暴跌49%，优必选上市一年闯难关（时代周报）｜依据全球发售文件列出2013年9月力合华睿Pre-A轮I投资400万元；并引用夏佐全采访，早期融资时估值3600万元。估值投前/投后口径未在该文明确。｜https://www.time-weekly.com/index.php/post/317715
2026-10-15 15:11:07+08:00｜东方财富优必选09880实时行情API｜本次工具原始返回f43=63050,f59=3即63.050港元；f84=503401373总股本；f116=31739456567.65港元总市值；f86=1792048267。属盘中快照，不是收盘价。｜https://push2.eastmoney.com/api/qt/stock/get?secid=116.09880&amp;fields=f43,f57,f58,f116,f117,f84,f86,f47,f60,f92,f59
2026-10-15 15:11:07+08:00｜腾讯优必选09880行情快照交叉核验｜返回股价63.050港元，总市值317.3946亿港元，总股本503401373，和东方财富一致。｜https://qt.gtimg.cn/q=r_hk09880
2026-10-15｜金投网当日港币人民币中间价（360索引摘录）｜搜索索引显示2026年10月15日1港元=0.8570元人民币。仅抓取搜索结果，没有在本批取得金投正文；可由主代理统一汇率源替换。｜https://www.so.com/s?q=港元+人民币+2026年10月15日+中间价</t>
  </si>
  <si>
    <t>2024年，天使轮（非更早种子轮）</t>
  </si>
  <si>
    <t>2024；1亿元人民币；华民投创始合伙人崔斌在2026天使投资大会披露：估值1亿元时参与天使投资。</t>
  </si>
  <si>
    <t>2026-04-16；100亿元人民币；上证报确认B1完成且估值逾100亿；保守以100亿下限÷1亿=100倍。9月200亿Pre-IPO尚待交割，排除。</t>
  </si>
  <si>
    <t>2026-04-20｜赛道比企业更重要，退出畅通有助于反哺投早——2026天使投资大会（证券时报）｜华民投崔斌表示作为极佳视界天使轮投资方，在企业估值1亿元时参与投资，目前企业估值已逾百亿元。直接投资人口径支持入口1亿元。｜https://finance.sina.com.cn/roll/2026-04-20/doc-inhvapyr8849612.shtml
2026-04-16｜极佳视界再获15亿元B1轮融资，估值破百亿元（上海证券报）｜近15亿元B1轮已完成；估值超百亿元。取100亿元下限，不把融资额15亿元当估值。｜https://finance.eastmoney.com/a/202604163707233729.html
2026-04-16｜极佳视界，一个月融资25亿（投资界）｜成立于2023年6月；初期数千万元种子；2024年9月近5000万元天使+天使+两轮；团队黄冠、朱政及视觉/自动驾驶工程经历。｜https://www.thepaper.cn/newsDetail_forward_32982668
2026-09-16｜极佳视界完成股改启动港股IPO，投前估值约200亿元人民币｜公开正文仍称最新Pre-IPO融资即将完成交割；200亿元投前值不作为已完成轮次的终点。｜https://cj.sina.com.cn/articles/view/1644983660/620c756c02001vpzs</t>
  </si>
  <si>
    <t>2024年，2024年种子轮（人工确认口径）</t>
  </si>
  <si>
    <t>2024；估值未披露；沿用源表P列用户确认；用户未提供完整分子分母，不能反推凑数</t>
  </si>
  <si>
    <t>估值未披露；用户确认60倍按真实最新估值计算；公开20亿元是两轮融资金额而非估值，不据此凑分子。</t>
  </si>
  <si>
    <t>2026-10-15｜用户人工确认游戏内投资回报P列｜人工指定：60倍，这是按照真实的最新一轮估值来计算的结果｜具身VC投资模拟器_题库v3.1.xlsx#题库底稿
2026-03-10｜灵初智能宣布完成新一轮融资，迈入行业头部梯队｜正文公开新一轮已完成和灵巧操作/数据体系路线，未给与用户60倍对应的完整交易估值。｜https://finance.sina.cn/tech/2026-03-10/detail-inhqnmhx6341674.d.html
2026-03-10｜灵初智能完成20亿融资：蓝驰创投与智元机器人是种子轮投资｜360检索摘录：2024年创办，种子投资方为高瓴、蓝驰、智元；天使和Pre-A合计20亿元。腾讯正文仅标题可读，故数据标为检索摘录。｜https://news.qq.com/rain/a/20260310A04P9R00
2026-04-13｜灵初智能完成新一轮融资，推进具身智能技术研发与数据集建设｜正文确认国投先导、京西瑞瓴参与新融资，金额未披露；文中部分产品发布日期可能写成2025年，未据此改入场卡片。｜https://auto.ifeng.com/c/8sHtWr1Ano0</t>
  </si>
  <si>
    <t>2023年，2023年天使轮首次交割</t>
  </si>
  <si>
    <t>2023；估值未披露；千万美元融资为宽范围且含两次交割，未得出让比例；没有证据支持将融资额直接视为估值。</t>
  </si>
  <si>
    <t>2026-04-02；200亿元人民币；科创板日报明确本轮已完成、投后估值超200亿元，取200亿元下限。</t>
  </si>
  <si>
    <t>2026-04-02｜星海图再融20亿，估值突破200亿，具身智能头部格局加速形成｜科创板日报：B+轮近20亿元已完成，相关方披露投后估值突破200亿元；2023年9月成立、初期百度风投和IDG天使。｜https://www.cls.cn/detail/2333817
2026-04-02｜星海图已完成轮次与初创融资信息（同上）｜正文核到2023年9月初创即获得天使融资，但未披露首轮投资额、持股比例或估值；数千万美元来自其他检索资料，不能推导精确首轮投后值。｜https://www.cls.cn/detail/2333817</t>
  </si>
  <si>
    <t>2016年，A1轮（最早可核实估值轮次）</t>
  </si>
  <si>
    <t>2016；2.1亿元人民币；据招股书，2016年A1轮融资4250万元、投后估值2.1亿元；2022-12 E1轮投后150亿元。</t>
  </si>
  <si>
    <t>2026-10-15；65.753668亿元人民币；腾讯行情2026-10-15约14:54市值76.7254亿港元，按当日中间价0.8570折人民币</t>
  </si>
  <si>
    <t>2024-12-19｜估值150亿元，蚂蚁、英特尔持股的极智嘉赴港上市｜据招股书，2016年A1轮融资4250万元、投后估值2.1亿元；2022-12 E1轮投后150亿元。｜https://finance.sina.com.cn/stock/relnews/us/2024-12-19/doc-inczxzya0285102.shtml
2026-10-15｜腾讯证券实时行情｜腾讯行情2026-10-15约14:54市值76.7254亿港元，按当日中间价0.8570折人民币｜https://qt.gtimg.cn/q=hk03752,hk02670,hk02590,hk02432,sh688169
2026-10-15｜今日港币兑人民币汇率中间价是多少（2026年10月15日）｜1港元对人民币0.8570元。｜https://forex.cngold.org/c/2026-10-15/c10816430.html</t>
  </si>
  <si>
    <t>2015年，天使轮（最早已直接核实估值的轮次）</t>
  </si>
  <si>
    <t>2015-12；1.5亿元人民币；天使投资方同道齐创、道生资本、深创投、君溢创投等，投后1.5亿元；2022年末投后35.31亿元。</t>
  </si>
  <si>
    <t>2026-10-15；62.136442亿元人民币；腾讯行情2026-10-15约14:54市值72.5046亿港元，按当日中间价0.8570折人民币</t>
  </si>
  <si>
    <t>2024-07-15｜越疆科技8轮融资后估值35亿 深圳又跑出一个IPO｜天使投资方同道齐创、道生资本、深创投、君溢创投等，投后1.5亿元；2022年末投后35.31亿元。｜https://finance.sina.com.cn/tech/roll/2024-07-15/doc-inceerfm1909693.shtml
2026-10-15｜腾讯证券实时行情｜腾讯行情2026-10-15约14:54市值72.5046亿港元，按当日中间价0.8570折人民币｜https://qt.gtimg.cn/q=hk03752,hk02670,hk02590,hk02432,sh688169
2026-10-15｜今日港币兑人民币汇率中间价是多少（2026年10月15日）｜1港元对人民币0.8570元。｜https://forex.cngold.org/c/2026-10-15/c10816430.html</t>
  </si>
  <si>
    <t>2015年，首次增资/天使轮可核实交易</t>
  </si>
  <si>
    <t>2015-03；0.438亿元人民币；2015-03天津金米入股，投后估值约4380万元；需招股书复核。</t>
  </si>
  <si>
    <t>2026-10-15；267.61亿元人民币；腾讯行情2026-10-15 15:09:20，收盘价103.10元×总股本259567776股=267.614377亿元，行情显示267.61亿元</t>
  </si>
  <si>
    <t>采用2015-03首次增资、投后4380万；并非把2014年创立资金当作融资。须进一步核招股书后续稀释，当前610.98倍仅毛估值增长。</t>
  </si>
  <si>
    <t>2023-01-16｜小米系减持石头科技，合计减持比例不超8%｜2015-03天津金米入股，投后估值约4380万元；需招股书复核。｜https://m.thepaper.cn/newsDetail_forward_21579463
2026-10-15｜腾讯证券实时行情｜腾讯行情2026-10-15 15:09:20，收盘价103.10元×总股本259567776股=267.614377亿元，行情显示267.61亿元｜https://qt.gtimg.cn/q=hk03752,hk02670,hk02590,hk02432,sh688169
2023-01-16｜小米系大撤退！“扫地茅”遭百亿套现，股价较最高点跌超七成｜引招股书：2015-03金米入股投后约4380万元，2016年顺为投后14.82亿元。搜索索引可读。｜https://www.sohu.com/a/630893797_161795</t>
  </si>
  <si>
    <t>2016年，天使轮</t>
  </si>
  <si>
    <t>2016；估值未披露；天使金额/比例未核实；2018年A轮5000万元融资额也不等于估值。若IT桔子有可见参考估值可另注明平台估算。</t>
  </si>
  <si>
    <t>2026-04-23；100亿元人民币；官网与新闻披露投后“突破100亿元”；以100亿元作为可见下界，不当成精确估值。</t>
  </si>
  <si>
    <t>2026-10-15｜关于我们 - 普渡机器人｜官网：公司估值突破百亿元，累计融资超过20亿元，三大技术栈与四条产品线。｜https://www.pudutech.com/zh-CN/company
2026-04-23｜普渡机器人完成近10亿元E轮融资，估值破百亿｜近10亿元融资，估值破100亿元；投后估值口径。｜https://k.sina.cn/article_5952915720_162d2490806703rur4.html
2025-07-30｜长盈精密：关联方长盈鑫是普渡科技天使轮投资人之一｜上市公司关联方长盈鑫是天使投资人，不将长盈精密上市公司写为直接投资方。｜http://stock.stockstar.com/RB2025073000031701.shtml
2018-06-11｜普渡科技完成5000万元A轮融资 曾获长盈精密天使投资｜2018-06-08 A轮5000万元，启创资本领投；此处长盈精密表述用后续上市公司澄清更正。｜https://www.sohu.com/a/235045634_100032577</t>
  </si>
  <si>
    <t>2013年，A轮/早期机构轮</t>
  </si>
  <si>
    <t>2013-01；估值未披露；弱来源称2013年3亿美元，但未获直接交易或可信机构验证；首轮金额“数千万美元”亦不足推断唯一估值。</t>
  </si>
  <si>
    <t>2018-05；160亿美元；2018融资规模10亿美元；若150亿美元投前加10亿新钱则160亿美元投后。若150亿美元本已是投后，则终点150亿美元。终点区间150—160亿美元。</t>
  </si>
  <si>
    <t>2018-04-06｜政策博弈下的大疆：被传估值150亿美金，却无上市计划｜2013年红杉数千万美元，2015年Accel7500万美元、估值100亿美元。｜https://www.jiemian.com/article/2038625.html
2020-07-27｜大疆回应赴港上市：内部尚未收到消息 18年最后一轮融资后估值160亿美元｜2018年战略融资10亿美元、融资后160亿美元。｜http://hk.stockstar.com/IG2020072700000550.shtml
2018-04-04｜大疆融资爆棚：估值150亿美元，近百家机构竞逐认购超30倍｜当时计划融资10亿美元，整体估值150亿美元；为最终投前/投后口径提供差异线索。｜https://www.nbd.com.cn/articles/2018-04-04/1205684.html
2018-06-05｜大疆的蜕变史：估值240亿美元，预计2022年可达千亿美元｜弱证据：称2013估值3亿美元，但年份和150亿口径不严谨，不作为确认倍数的唯一依据。｜https://www.sohu.com/a/234179105_280315</t>
  </si>
  <si>
    <t>2018年，主体起步观察期；未证实独立VC融资</t>
  </si>
  <si>
    <t>2018-05-04；估值未披露；深兰机器人（上海）有限公司成立于2018-05-04；独立首轮VC股权融资未证实。进入年改为主体成立年，原表早于成立年份的教学进入不再沿用。</t>
  </si>
  <si>
    <t>2026-10-15；估值未披露；法院受理破产清算不等于最终分配完成；尚未找到最终清偿方案证明普通股回收为零。</t>
  </si>
  <si>
    <t>2026-10-15｜深兰机器人（上海）有限公司工商资料｜成立日期2018-05-04；注册资本不是融资估值。｜https://aiqicha.baidu.com/company_mark_92357119306169
2026-10-14｜又一明星机器人破产！员工人均被欠薪23万｜深兰上海2026-05受理破产清算；达闼北京2025-10-10法院受理破产清算，2026-06指定管理人及债权申报；深兰集团与子公司结局不同。｜https://finance.sina.com.cn/roll/2026-10-14/doc-inivfftk1247445.shtml
2026-09-07｜深兰机器人（上海）有限公司破产清算一案 职工债权公示（第五批）｜公示称上海浦东法院2026-05-07作出受理裁定；公告线索，未获得最终股权清偿方案。｜https://www.sohu.com/a/1072922614_122455196</t>
  </si>
  <si>
    <t>2020年，主体起步观察期；未证实独立VC融资</t>
  </si>
  <si>
    <t>2020-09-27；估值未披露；达闼机器人（北京）有限公司成立于2020-09-27；独立首轮VC股权融资未证实。进入年改为主体成立年，原表早于成立年份的教学进入不再沿用。</t>
  </si>
  <si>
    <t>2026-10-15｜达闼机器人（北京）有限公司工商资料｜成立日期2020-09-27；注册资本不是融资估值。｜https://aiqicha.baidu.com/company_detail_34748345488682
2026-10-14｜又一明星机器人破产！员工人均被欠薪23万｜深兰上海2026-05受理破产清算；达闼北京2025-10-10法院受理破产清算，2026-06指定管理人及债权申报；深兰集团与子公司结局不同。｜https://finance.sina.com.cn/roll/2026-10-14/doc-inivfftk1247445.shtml
2025-04-01｜达闼机器人：短期内遭遇资金流动性挑战，2025年新单金额2亿—3亿元｜集团声明仍有经营与订单，经营声明不代表北京子公司股权清偿；不得将集团全部破产表述为既定事实。｜http://www.stcn.com/article/detail/1630947.html</t>
  </si>
  <si>
    <t>2020年，天使轮</t>
  </si>
  <si>
    <t>2020-06；估值未披露；整轮融资超9000万、熊猫资本单家7000万；尚缺首轮新增持股比例/估值。</t>
  </si>
  <si>
    <t>2026-10-15；估值未披露；破产程序尚在债权申报及会议阶段；2021年5亿美元估值是历史融资峰值，不能作为现值；无最终股权回收结果。</t>
  </si>
  <si>
    <t>2026-06-05｜熊猫资本喊话“美的大公子”：公司融超6亿，为何会濒死？｜熊猫单家7000万元，展示融资列表称天使整轮超9000万；投资人指控不当成已裁定事实。｜https://news.qq.com/rain/a/20260605A09EPP00
2026-10-11｜又一家明星机器人公司盈合机器人，破产了｜2020-03成立；2021-01 A轮约4亿元、估值5亿美元；2024-05新融资；首次债权人会议安排2026-10-19。｜https://finance.sina.com.cn/roll/2026-10-11/doc-iniuvpan0593675.shtml
2026-10｜融了6个亿，员工从300人缩到66人，最后进入破产程序：盈合机器人的六年｜案号（2026）粤03破454号，8月21日发布债权申报公告；不是最终股权分配结果。｜https://news.tianyancha.com/ll_0bk91bbkur.html</t>
  </si>
  <si>
    <t>2016年，最早可核实融资/交易时点</t>
  </si>
  <si>
    <t>0.16亿元人民币；用户确认2016年天使轮0.16亿元人民币；未取得该笔交易合同。</t>
  </si>
  <si>
    <t>100亿元人民币；保留用户选定100亿元人民币终点，不改成其他估值。</t>
  </si>
  <si>
    <t>2026-09-02｜梅卡曼德成功上市：三位清华同学港股敲锣了｜报道2016年底PreAngel等数百万元天使融资、三名创始人背景；2026-09-01港交所上市，发行价101.7港元，开盘市值超120亿港元。｜https://www.thepaper.cn/newsDetail_forward_33983429</t>
  </si>
  <si>
    <t>2026年，C+轮（用户选定）</t>
  </si>
  <si>
    <t>2016；估值未披露；本游戏依用户选择以2016年C+轮进入，非真实首轮。</t>
  </si>
  <si>
    <t>0亿元人民币；用户确认普通股回收按0计。2024年破产支持重大损失方向，但没有普通股最终清偿公告，0为用户确认损失处理。</t>
  </si>
  <si>
    <t>2024-11-19｜柔宇科技及两家子公司被深圳中院宣告破产｜报道法院2024-11-18裁定柔宇科技、柔宇电子、柔宇显示三主体破产；不等于披露普通股清偿。｜https://www.thepaper.cn/newsDetail_forward_29391318</t>
  </si>
  <si>
    <t>2016年，早期轮次估值待补</t>
  </si>
  <si>
    <t>估值未披露；已核2017 A轮1.1亿元人民币，但未见该轮出让股份或投后估值；不能将融资额当估值或任设20%稀释。</t>
  </si>
  <si>
    <t>2026-10-14美股收盘；21.90562亿美元；腾讯HSAI行情全股权市值21.90562亿美元；需与同币种入场估值比较，不能把人民币1.1亿融资直接作分母。</t>
  </si>
  <si>
    <t>若后续补值，估值比仍未计稀释；Hesai Group红筹重组与原境内公司权益映射须相符。</t>
  </si>
  <si>
    <t>2017-05-10｜激光雷达公司禾赛科技完成A轮1.1亿融资｜A轮1.1亿元人民币，Pagoda Investment领投；2017-04推出Pandar40。｜https://36kr.com/p/1721536315393
2021-01-08｜禾赛拍了拍科创板，估值133亿｜2016年之前主要气体检测，2016年开始自研激光雷达；IPO拟募资/比例133亿为拟发行口径非早期交易。｜https://www.36kr.com/p/1045259718393984
2026-10-14｜腾讯美股HSAI行情｜13.94美元收盘，全部股权市值21.90562亿美元。｜https://qt.gtimg.cn/q=usHSAI</t>
  </si>
  <si>
    <t>2016年，定价增资（非首轮）</t>
  </si>
  <si>
    <t>2018-11-15（决议；2018-11-27变更）；42.5亿元人民币；以2.5亿元认购531.25万股、投后9031.25万股：2.5/(531.25/9031.25)=42.5亿元。披露每股47.06元为四舍五入，优先用总对价和精确股数。</t>
  </si>
  <si>
    <t>2026-10-15；428.9924925亿元人民币；234元×183330125股÷1e8=428.99249亿元，约10.09倍。</t>
  </si>
  <si>
    <t>估值增长比未计IPO及后续融资对早期股份的稀释，非已实现投资回报。</t>
  </si>
  <si>
    <t>2020-08-25｜绿的谐波首次公开发行股票并在科创板上市招股说明书｜p43-44披露2018-11三笔增资合计25000万元，新增531.25万股、投后9031.25万股；p24记载早期量产与客户导入。｜https://pdf.dfcfw.com/pdf/H2_AN202008241401062523_1.pdf
2014-04-23｜谱润投资苏州绿的 助推机器人产业腾飞｜2014年已存在外部投资，不能称2018为首轮。｜http://www.ce.cn/cysc/sp/info/201404/23/t20140423_2709158.shtml
2026-10-15｜腾讯股票行情688017｜收盘234元；总股本183330125；全股权市值428.99亿元。｜https://qt.gtimg.cn/q=sh688017</t>
  </si>
  <si>
    <t>2017年，2017早期融资线索待核</t>
  </si>
  <si>
    <t>估值未披露；缺真实融资定价与股比，不以数百万元/数千万元融资额冒充估值。</t>
  </si>
  <si>
    <t>估值未披露；C1/C2数亿元合计融资是募集现金，不是企业估值；自媒体40亿尚未获得公司/机构背书。</t>
  </si>
  <si>
    <t>补得真实估值后仍需区分估值增长比与稀释后股东回报。</t>
  </si>
  <si>
    <t>2019-09-03｜因时机器人CEO蔡颖鹏：核心部件是机器人技术应用落地的关键｜早期采访证实创始人兼CEO蔡颖鹏、2016成立，转向微型核心部件及操作解决方案。｜https://cloud.tencent.com/developer/news/435565
2026-02-25｜因时机器人完成数亿元C1轮及C2轮融资｜上证报记者报道C1/C2轮融资金额和投资人，未披露估值。｜https://finance.eastmoney.com/a/202602253653896634.html</t>
  </si>
  <si>
    <t>2020年，最早可核实融资/交易时点</t>
  </si>
  <si>
    <t>2.6亿元人民币；用户确认52亿元终点、20倍倍率，倒算起点52/20=2.6亿元；该2.6亿是代数反推值，不是公开首轮披露。</t>
  </si>
  <si>
    <t>52亿元人民币；用户人工确认52亿元人民币；未提供估值日期，不编造日期。</t>
  </si>
  <si>
    <t>2026-10-15访问｜蓝点触控融资历史（主代理Chrome登录查看）｜融资事件如first/latest；页面轮次是融资金额，用户52亿估值另计。｜https://www.itjuzi.com/company/42799144</t>
  </si>
  <si>
    <t>2021年，天使轮，标准条款代理</t>
  </si>
  <si>
    <t>2021-11（天使融资披露）；0.2764285714285714亿元人民币；奇绩官网公开30万美元换7%；0.003亿美元/7%=0.042857亿美元，按2021年美元兑人民币约6.45作跨币种折算=0.27643亿元。6.3–6.6汇率敏感区间对应约354–370倍。未宣称帕西尼实际合同必然适用标准条款。</t>
  </si>
  <si>
    <t>2026-03-06（最近有估值的公开轮次；后续有融资但估值未明）；100亿元人民币；创业邦原文2026-03-06明确投后估值超100亿元，取100亿元为已披露下限，算得约361.76倍；这只是该方法下的保守终点，不能称估值精确100亿。</t>
  </si>
  <si>
    <t>此值是未计融资稀释的估值增长代理比，个别合同条款、后续融资、期权池与优先清算会改变实际股东回报。</t>
  </si>
  <si>
    <t>2021-11-25｜触觉传感器公司帕西尼感知科技完成数百万元天使轮融资｜奇绩创坛领投，产品为三维智能触觉传感器PX Chip。｜https://www.jiemian.com/article/6849187.html
2026-10-15访问｜奇绩创坛官网投资模式｜公开每家30万美元或等值人民币，换取7%公司股份；只支持标准条款代理。｜https://www.miracleplus.com/
2026-03-06｜帕西尼再获超10亿融资，估值破100亿｜公司宣布B轮超10亿元、公司估值超100亿元。｜https://www.cyzone.cn/article/826205.html
2022-12-29｜帕西尼感知科技完成数千万Pre-A轮融资｜Pre-A为数千万元（原表近亿元有误），核心为PX触觉传感器；创始人许晋诚博士。｜https://www.36kr.com/p/2063367890538372</t>
  </si>
  <si>
    <t>2021年，A轮前后</t>
  </si>
  <si>
    <t>2021；估值未披露；10亿元仅为融资额，不是投后估值；没有新增持股比例，不能倒推唯一进入估值。</t>
  </si>
  <si>
    <t>2026-10-15；估值未披露；全员停工报道说明经营已出现重大挫折，但不等于已宣告破产、清算完成或普通股实际归零。</t>
  </si>
  <si>
    <t>不以“停工”替代法律清算或投资人退出事实。</t>
  </si>
  <si>
    <t>2025-11｜证券时报：毫末智行停工报道｜用于核对停工这一经营挫折事实；不把媒体报道外推为已完成破产清算。｜https://www.stcn.com/article/detail/3508580.html
2026-10-15｜毫末智行官网｜用于主体及辅助驾驶业务定位核对。｜https://www.haomo.ai/</t>
  </si>
  <si>
    <t>公开天使融资额 ÷ 明示持股假设所得的进入估值 / 公开报道最新估值；未稀释毛估值增长</t>
  </si>
  <si>
    <t>2016；0.5亿美元；500万美元融资÷10%新增持股=5,000万美元投后；若占股5%/15%，进入值为1/0.333亿美元，对应30/90倍。</t>
  </si>
  <si>
    <t>2021（最后可核公开估值）；30亿美元；采用C轮后约30亿美元的媒体估值口径；不以“累计融资超10亿美元”直接替换公司估值。</t>
  </si>
  <si>
    <t>公司投后估值增长，未扣后续融资稀释、优先权、税费或退出折价。</t>
  </si>
  <si>
    <t>天使轮具体金额和终点估值须以IT桔子事件详情或正式交易披露复核；终点并非现金退出。</t>
  </si>
  <si>
    <t>2026-10-15｜IT桔子：Momenta/初速度｜页面显示2016年成立、量产与无人驾驶两条产品路线以及上汽、通用、奔驰、丰田和博世等战略投资者。｜https://www.itjuzi.com/company/53629
2026-10-15｜Momenta官网｜用于主体、产品与数据驱动路线核验。｜https://www.momenta.ai/</t>
  </si>
  <si>
    <t>2015年，早期泊车业务阶段</t>
  </si>
  <si>
    <t>2015；估值未披露；首轮投后估值或当轮持股比例缺失，不能从融资新闻或注册资本制造分母。</t>
  </si>
  <si>
    <t>2026-10-15；估值未披露；重整并不天然意味着公司普通股价值为零；需要法院裁定、重整计划和实际清偿资料。</t>
  </si>
  <si>
    <t>拒绝将旧题库中的10%回收教学数冒充已披露投资结果。</t>
  </si>
  <si>
    <t>2026｜纵目科技司法重整线索｜用于核对重整风险线索；尚不足以得出普通股实际清偿率。｜http://www.wrdrive.com/news/show.php?itemid=7516
2026-10-15｜纵目科技官网｜用于主体及泊车、智能驾驶业务定位核验。｜https://www.zongmu.com/</t>
  </si>
  <si>
    <t>2020年，首轮（用户确认投后估值）</t>
  </si>
  <si>
    <t>用户人工确认的同币种投后估值比；210亿元 ÷ 4.8亿元</t>
  </si>
  <si>
    <t>2020；4.8亿元人民币；保留用户确认的4.8亿元首轮投后估值，不以融资金额替换。</t>
  </si>
  <si>
    <t>2025（Pre-IPO）；210亿元人民币；保留用户确认的210亿元Pre-IPO终点估值。</t>
  </si>
  <si>
    <t>公司估值增长倍数，未扣后续融资稀释、优先权、税费或退出折价。</t>
  </si>
  <si>
    <t>人工确认值的原始交易文件未随工作簿提供；在游戏数据中应保留人工确认标识。</t>
  </si>
  <si>
    <t>2026-10-15｜用户人工确认：沐曦回报口径｜首轮投后4.8亿元、2025年Pre-IPO估值210亿元，210÷4.8=43.75倍。｜具身VC投资模拟器_题库v3.1.xlsx#题库底稿
2026-10-15｜沐曦官网｜用于GPU及软件产品主体定位核验。｜https://www.metax-tech.com/</t>
  </si>
  <si>
    <t>2015年，早期融资（金额假设还原）</t>
  </si>
  <si>
    <t>早期融资额 ÷ 明示持股假设所得的进入估值 / 2026-10-15公开市值；未稀释毛估值增长</t>
  </si>
  <si>
    <t>2015；13.26亿元人民币；2,000万美元按2015年约6.63元/美元折1.326亿元；假定新增持股10%，投后估值=1.326÷10%=13.26亿元。若新增持股5%/15%，进入值26.52/8.84亿元，对应19.67/59.01倍。</t>
  </si>
  <si>
    <t>2026-10-15；521.7亿元人民币；腾讯行情15:09给出市值608.7482亿港元；按2026-10-15中间价0.8570，折人民币521.70亿元。</t>
  </si>
  <si>
    <t>公司估值增长，未扣私募与IPO后稀释、禁售、税费和交易成本。</t>
  </si>
  <si>
    <t>早期融资金额和当轮占股尚需用IT桔子或招股书历史融资表复核；不沿用V3的20倍教学数。</t>
  </si>
  <si>
    <t>2026-10-15｜地平线官网｜用于车端计算平台、芯片和软件工具链定位核验。｜https://www.horizon.cc/
2026-10-15｜腾讯证券行情：09660 地平线机器人-W｜15:09行情市值608.7482亿港元。｜https://qt.gtimg.cn/q=hk09660
2026-10-15｜2026-10-15港元人民币中间价｜1港元=0.8570元人民币，用于港股市值换算。｜https://forex.cngold.org/c/2026-10-15/c10816430.html</t>
  </si>
  <si>
    <t>公开天使融资额 ÷ 明示持股假设所得的进入估值 / 公开报道最新私募估值；未稀释毛估值增长</t>
  </si>
  <si>
    <t>2020；13.26亿元人民币；2,000万美元按2020年约6.63元/美元折1.326亿元；假定新增持股10%，投后13.26亿元。若占股5%/15%，进入值26.52/8.84亿元，对应9.28/27.83倍。</t>
  </si>
  <si>
    <t>2024-2025（最后可核私募估值口径）；246亿元人民币；采用公开报道约246亿元的Pre-IPO投后估值，而非将融资金额或官网产品新闻当作估值。</t>
  </si>
  <si>
    <t>公司投后估值增长，未扣后续融资稀释、优先权、税费及流动性折价。</t>
  </si>
  <si>
    <t>首轮金额、终点估值及轮次需以IT桔子具体事件或招股文件复核；当前不声称已实现退出。</t>
  </si>
  <si>
    <t>2026-10-15｜摩尔线程官网｜用于GPU、驱动和软件生态产品主体核验。｜https://www.mthreads.com/
2026-10-15｜IT桔子融资数据库｜本轮将以IT桔子事件页继续复核2020天使轮和后续Pre-IPO交易；融资额不直接作为估值。｜https://www.itjuzi.com/</t>
  </si>
  <si>
    <t>2023年，天使轮（用户确认投后估值）</t>
  </si>
  <si>
    <t>用户人工确认的同币种估值比；35亿美元 ÷ 3亿美元</t>
  </si>
  <si>
    <t>2023-06；3亿美元；保留用户确认的3亿美元投后估值；IT桔子仅作为该天使轮融资日期和金额旁证。</t>
  </si>
  <si>
    <t>2026；35亿美元；保留用户确认的35亿美元终点估值，按同一美元口径计算。</t>
  </si>
  <si>
    <t>此为公司投后估值增长倍数，未扣后续融资稀释、优先权、费用、税和流动性折价。</t>
  </si>
  <si>
    <t>用户确认的估值原始交易文件未随工作簿提供；不以“F轮超35亿美元融资额”反推估值。</t>
  </si>
  <si>
    <t>2026-10-15｜用户人工确认游戏内投资回报P列｜人工基准：天使投后3亿美元、2026终点35亿美元，倍率11.67倍。｜具身VC投资模拟器_题库v3.1.xlsx#题库底稿
2026-10-15｜IT桔子：月之暗面Kimi｜记录2023-06-12天使轮6000万美元、2023-07-31 Pre-A、2024-02-19 A轮10亿美元；页面新闻收录2026-07-29 F轮消息。融资额不作估值。｜https://www.itjuzi.com/company/42787816</t>
  </si>
  <si>
    <t>2019年，首轮（用户确认投后估值）</t>
  </si>
  <si>
    <t>用户人工确认的同主体、同币种估值比；2500亿元 ÷ 4亿元</t>
  </si>
  <si>
    <t>2019；4亿元人民币；保留用户确认的4亿元首轮投后估值，未用融资金额或注册资本替代。</t>
  </si>
  <si>
    <t>用户确认口径；2500亿元人民币；保留用户确认的2500亿元终点估值，按同一人民币口径计算。</t>
  </si>
  <si>
    <t>完整首轮和终点交易文件未随工作簿提供；该人工确认值须在游戏数据中单独标识。</t>
  </si>
  <si>
    <t>2026-10-15｜用户人工确认游戏内投资回报P列｜人工指定：首轮估值4亿元、最新2500亿元，按625倍计算。｜具身VC投资模拟器_题库v3.1.xlsx#题库底稿
2026-10-15｜IT桔子：智谱｜页面将主体列为大模型公司并收录其融资新闻；不以页面上的融资额或新闻提及的上市后融资替代用户确认估值。｜https://www.itjuzi.com/company/38515688</t>
  </si>
  <si>
    <t>2023年，早期</t>
  </si>
  <si>
    <t>2023；估值未披露；未核到首轮投后估值、当轮新增持股或可还原的每股交易价格。</t>
  </si>
  <si>
    <t>估值未披露；未核到同主体的最新投后估值或市值。</t>
  </si>
  <si>
    <t>缺少分子和分母时不填教学情景倍数。</t>
  </si>
  <si>
    <t>须以IT桔子具体融资事件页、工商增资股数或公司披露补齐估值后再计算。</t>
  </si>
  <si>
    <t>2026-10-15｜Tripo 3D产品网站｜用于核对本案例的产品主体和3D生成定位；不作为融资或估值来源。｜https://www.tripo3d.ai/</t>
  </si>
  <si>
    <t>2013年，早期设计软件阶段</t>
  </si>
  <si>
    <t>2013；估值未披露；没有早轮估值或出让比例，不能把融资额、注册资本或产品用户数当作估值。</t>
  </si>
  <si>
    <t>估值未披露；没有同主体最新市值或可核投后估值。</t>
  </si>
  <si>
    <t>不使用V3的10倍教学情景。</t>
  </si>
  <si>
    <t>2026-10-15｜群核科技官方网站｜用于核对群核科技/酷家乐的空间设计软件主体与产品方向；不作估值证据。｜https://www.manycoretech.com/</t>
  </si>
  <si>
    <t>2023-08-21；估值未披露；“数千万人民币”是融资额而不是投后估值；没有出让比例，不能任设10%或20%反推估值。</t>
  </si>
  <si>
    <t>2026-10-12；估值未披露；23亿元是C轮融资额，不是终点投后估值；本批未核到可复算投后值。</t>
  </si>
  <si>
    <t>不得以两笔融资额相除作为投资回报倍数。</t>
  </si>
  <si>
    <t>可用IT桔子具体事件详情、投资协议或工商增资前后股本补齐。</t>
  </si>
  <si>
    <t>2026-10-15｜IT桔子：无问芯穹｜记录2023-08-21天使轮数千万、2023-12 Pre-A数亿、2024-09 A轮5亿；新闻栏记录2026-10-12 C轮23亿元。页面未给各轮投后估值。｜https://www.itjuzi.com/company/42847157
2026-10-15｜无问芯穹官方网站｜用于核对M×N异构算力基础设施定位；不作估值证据。｜https://www.infini-ai.com/</t>
  </si>
  <si>
    <t>2024年，早期</t>
  </si>
  <si>
    <t>2024；估值未披露；没有首轮投后估值或新增持股比例，不能将新闻中的融资额或产品调用量改写成估值。</t>
  </si>
  <si>
    <t>估值未披露；没有最新公开投后估值或市值。</t>
  </si>
  <si>
    <t>不使用V3的2.5倍教学情景。</t>
  </si>
  <si>
    <t>应补查IT桔子融资事件页、工商增资或投资方公告。</t>
  </si>
  <si>
    <t>2026-10-15｜IT桔子：硅基流动｜页面将其描述为大模型云服务及独立第三方算力调度平台；未在本次可读记录中提供可复算首轮或末轮估值。｜https://www.itjuzi.com/company/42910103</t>
  </si>
  <si>
    <t>2023年，2023年种子轮</t>
  </si>
  <si>
    <t>2023；估值未披露；种子+天使+天使+累计数千万元，未得单轮金额和比例；不将三轮累计融资除以一个任意稀释率。</t>
  </si>
  <si>
    <t>2026-05-25；20亿美元；北京商报与甲子光年报道已完成本轮、估值超过20亿美元，取20亿美元下限。</t>
  </si>
  <si>
    <t>2023-07-25｜合成数据公司光轮智能完成天使+轮融资（36氪）｜正文：当年已完成种子、天使、天使+三轮，融资总金额数千万元；金额是累计三轮，不是单笔种子额。｜https://baijiahao.baidu.com/s?id=1772359486950255256
2026-05-25｜蚂蚁集团领投，光轮智能20亿美元估值引领全球具身数据基础设施（甲子光年）｜新一轮已完成，估值超过20亿美元；蚂蚁领投，建投等参投。客户订单5.5亿元与收入/估值分开，不用订单反推估值。｜http://t.cj.sina.com.cn/articles/view/5381890498/140c921c201901hsoo
2026-05-25｜光轮智能完成新一轮融资，蚂蚁集团领投（北京商报）｜北京商报记者确认已完成新轮，估值突破20亿美元，交叉印证。｜https://finance.eastmoney.com/a/202605253748481225.html</t>
  </si>
  <si>
    <t>2015年，早期</t>
  </si>
  <si>
    <t>2015；估值未披露；首轮融资额、估值和股权比例均未核实。</t>
  </si>
  <si>
    <t>估值未披露；未核到末轮投后估值或市值。</t>
  </si>
  <si>
    <t>不把产品宣传、注册资本、融资累计额或医疗合作当估值。</t>
  </si>
  <si>
    <t>需以IT桔子历史融资、投资方公告或股权交易文件补齐。</t>
  </si>
  <si>
    <t>2026-10-15｜强脑科技官方网站｜用于核对BrainCo主体与脑机接口产品方向；不作为融资或估值来源。｜https://www.brainco.cn/</t>
  </si>
  <si>
    <t>2015年，设备业务早期阶段</t>
  </si>
  <si>
    <t>2015；估值未披露；没有可核的早轮估值或增资价格。</t>
  </si>
  <si>
    <t>估值未披露；没有可核的末轮投后估值或市值。</t>
  </si>
  <si>
    <t>不沿用V3的5倍教学数。</t>
  </si>
  <si>
    <t>2026-10-15｜博睿康官方网站｜用于核对神经信号采集和脑机系统产品方向；不作为估值来源。｜https://www.neuracle.com/</t>
  </si>
  <si>
    <t>2016-03-02；估值未披露；天使轮金额未披露；Pre-A的数千万融资额不能作为天使估值或替代估值。</t>
  </si>
  <si>
    <t>2026-10-15；估值未披露；9亿元为战略投资金额，75亿元为IPO拟募资额，均不能直接当作公司终点估值。</t>
  </si>
  <si>
    <t>不得用融资额或拟募资额除以早期融资额生成倍数。</t>
  </si>
  <si>
    <t>2026-10-15｜IT桔子：蓝箭航天Landspace｜记录2016-03-02天使轮金额未透露、2016-06 Pre-A数千万、2016-11 A轮数千万；新闻栏记录2024-12-25国家制造业基金投资9亿元和2026-01-04 IPO拟募资75亿元。｜https://www.itjuzi.com/company/81734
2026-10-15｜蓝箭航天官方网站｜用于核对液氧甲烷火箭及发射服务定位；不作估值证据。｜https://www.landspace.com/</t>
  </si>
  <si>
    <t>2018年，天使阶段</t>
  </si>
  <si>
    <t>2018；估值未披露；首轮金额、估值和出让比例缺失，不能以任意天使融资额作为公司估值。</t>
  </si>
  <si>
    <t>2022（媒体估值线索）；110亿元人民币；110亿元仅为历史媒体估值线索，缺交易文件与投前/投后定义；保留为待核参考，不能支撑倍数计算。</t>
  </si>
  <si>
    <t>不使用V3的1倍成本持有情景。</t>
  </si>
  <si>
    <t>2026-10-15｜银河航天官方网站｜用于核对卫星通信、载荷与卫星制造主体方向；不作为估值来源。｜https://www.galaxysat.com/
2026-10-15｜V3.1底稿中的估值线索｜原底稿记录“2022年融资公开报道投后估值约110亿元”，但没有交易文件或首轮估值；本批未把该线索伪装成可算倍数。｜具身VC投资模拟器_题库v3.1.xlsx#题库底稿</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</si>
</sst>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 numFmtId="177" formatCode="0.0%"/>
  </numFmts>
  <fonts count="25">
    <font>
      <sz val="11"/>
      <name val="Carlito"/>
      <charset val="134"/>
    </font>
    <font>
      <i/>
      <sz val="10"/>
      <color rgb="FF526477"/>
      <name val="Arial"/>
      <charset val="134"/>
    </font>
    <font>
      <b/>
      <sz val="10"/>
      <color rgb="FFFFFFFF"/>
      <name val="Arial"/>
      <charset val="134"/>
    </font>
    <font>
      <sz val="10"/>
      <color rgb="FF172233"/>
      <name val="Arial"/>
      <charset val="134"/>
    </font>
    <font>
      <b/>
      <sz val="10"/>
      <color rgb="FF172233"/>
      <name val="Arial"/>
      <charset val="134"/>
    </font>
    <font>
      <sz val="10"/>
      <color rgb="FF172233"/>
      <name val="宋体-简"/>
      <charset val="134"/>
    </font>
    <font>
      <sz val="11"/>
      <color theme="1"/>
      <name val="Calibri"/>
      <charset val="134"/>
      <scheme val="minor"/>
    </font>
    <font>
      <u/>
      <sz val="11"/>
      <color rgb="FF0000FF"/>
      <name val="Calibri"/>
      <charset val="134"/>
      <scheme val="minor"/>
    </font>
    <font>
      <u/>
      <sz val="11"/>
      <color rgb="FF800080"/>
      <name val="Calibri"/>
      <charset val="134"/>
      <scheme val="minor"/>
    </font>
    <font>
      <sz val="11"/>
      <color rgb="FFFF0000"/>
      <name val="Calibri"/>
      <charset val="134"/>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rgb="FFFFFFFF"/>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s>
  <fills count="38">
    <fill>
      <patternFill patternType="none"/>
    </fill>
    <fill>
      <patternFill patternType="gray125"/>
    </fill>
    <fill>
      <patternFill patternType="solid">
        <fgColor rgb="FFF0F4F8"/>
        <bgColor indexed="64"/>
      </patternFill>
    </fill>
    <fill>
      <patternFill patternType="solid">
        <fgColor rgb="FF203B57"/>
        <bgColor indexed="64"/>
      </patternFill>
    </fill>
    <fill>
      <patternFill patternType="solid">
        <fgColor rgb="FFF7F9FC"/>
        <bgColor indexed="64"/>
      </patternFill>
    </fill>
    <fill>
      <patternFill patternType="solid">
        <fgColor rgb="FFFFFFFF"/>
        <bgColor indexed="64"/>
      </patternFill>
    </fill>
    <fill>
      <patternFill patternType="solid">
        <fgColor rgb="FFFFF2CC"/>
        <bgColor indexed="64"/>
      </patternFill>
    </fill>
    <fill>
      <patternFill patternType="solid">
        <fgColor theme="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8"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9" borderId="4" applyNumberFormat="0" applyAlignment="0" applyProtection="0">
      <alignment vertical="center"/>
    </xf>
    <xf numFmtId="0" fontId="16" fillId="10" borderId="5" applyNumberFormat="0" applyAlignment="0" applyProtection="0">
      <alignment vertical="center"/>
    </xf>
    <xf numFmtId="0" fontId="17" fillId="10" borderId="4" applyNumberFormat="0" applyAlignment="0" applyProtection="0">
      <alignment vertical="center"/>
    </xf>
    <xf numFmtId="0" fontId="18" fillId="11"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6" fillId="28" borderId="0" applyNumberFormat="0" applyBorder="0" applyAlignment="0" applyProtection="0">
      <alignment vertical="center"/>
    </xf>
    <xf numFmtId="0" fontId="6" fillId="29" borderId="0" applyNumberFormat="0" applyBorder="0" applyAlignment="0" applyProtection="0">
      <alignment vertical="center"/>
    </xf>
    <xf numFmtId="0" fontId="24" fillId="30" borderId="0" applyNumberFormat="0" applyBorder="0" applyAlignment="0" applyProtection="0">
      <alignment vertical="center"/>
    </xf>
    <xf numFmtId="0" fontId="24" fillId="7"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xf numFmtId="0" fontId="0" fillId="0" borderId="0"/>
  </cellStyleXfs>
  <cellXfs count="14">
    <xf numFmtId="0" fontId="0" fillId="0" borderId="0" xfId="49"/>
    <xf numFmtId="0" fontId="1" fillId="2" borderId="0" xfId="49" applyNumberFormat="1" applyFont="1" applyFill="1" applyBorder="1" applyAlignment="1">
      <alignment vertical="center" wrapText="1"/>
    </xf>
    <xf numFmtId="0" fontId="2" fillId="3" borderId="0" xfId="49" applyNumberFormat="1" applyFont="1" applyFill="1" applyBorder="1" applyAlignment="1">
      <alignment horizontal="center" vertical="center" wrapText="1"/>
    </xf>
    <xf numFmtId="0" fontId="3" fillId="4" borderId="0" xfId="49" applyNumberFormat="1" applyFont="1" applyFill="1" applyBorder="1" applyAlignment="1">
      <alignment vertical="top" wrapText="1"/>
    </xf>
    <xf numFmtId="176" fontId="3" fillId="4" borderId="0" xfId="49" applyNumberFormat="1" applyFont="1" applyFill="1" applyBorder="1" applyAlignment="1">
      <alignment vertical="top" wrapText="1"/>
    </xf>
    <xf numFmtId="0" fontId="3" fillId="5" borderId="0" xfId="49" applyNumberFormat="1" applyFont="1" applyFill="1" applyBorder="1" applyAlignment="1">
      <alignment vertical="top" wrapText="1"/>
    </xf>
    <xf numFmtId="176" fontId="3" fillId="5" borderId="0" xfId="49" applyNumberFormat="1" applyFont="1" applyFill="1" applyBorder="1" applyAlignment="1">
      <alignment vertical="top" wrapText="1"/>
    </xf>
    <xf numFmtId="0" fontId="4" fillId="6" borderId="0" xfId="49" applyNumberFormat="1" applyFont="1" applyFill="1" applyBorder="1" applyAlignment="1">
      <alignment vertical="center"/>
    </xf>
    <xf numFmtId="177" fontId="3" fillId="4" borderId="0" xfId="49" applyNumberFormat="1" applyFont="1" applyFill="1" applyBorder="1" applyAlignment="1">
      <alignment vertical="top" wrapText="1"/>
    </xf>
    <xf numFmtId="176" fontId="5" fillId="5" borderId="0" xfId="49" applyNumberFormat="1" applyFont="1" applyFill="1" applyBorder="1" applyAlignment="1">
      <alignment vertical="top" wrapText="1"/>
    </xf>
    <xf numFmtId="177" fontId="3" fillId="5" borderId="0" xfId="49" applyNumberFormat="1" applyFont="1" applyFill="1" applyBorder="1" applyAlignment="1">
      <alignment vertical="top" wrapText="1"/>
    </xf>
    <xf numFmtId="0" fontId="5" fillId="5" borderId="0" xfId="49" applyNumberFormat="1" applyFont="1" applyFill="1" applyBorder="1" applyAlignment="1">
      <alignment vertical="top" wrapText="1"/>
    </xf>
    <xf numFmtId="0" fontId="5" fillId="4" borderId="0" xfId="49" applyNumberFormat="1" applyFont="1" applyFill="1" applyBorder="1" applyAlignment="1">
      <alignment vertical="top" wrapText="1"/>
    </xf>
    <xf numFmtId="0" fontId="2" fillId="7" borderId="0" xfId="49"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B57"/>
  </sheetPr>
  <dimension ref="A1:P51"/>
  <sheetViews>
    <sheetView showGridLines="0" tabSelected="1" workbookViewId="0">
      <pane xSplit="2" ySplit="1" topLeftCell="C2" activePane="bottomRight" state="frozen"/>
      <selection/>
      <selection pane="topRight"/>
      <selection pane="bottomLeft"/>
      <selection pane="bottomRight" activeCell="J16" sqref="J16"/>
    </sheetView>
  </sheetViews>
  <sheetFormatPr defaultColWidth="9" defaultRowHeight="16.8"/>
  <cols>
    <col min="1" max="2" width="8.69852941176471" customWidth="1"/>
    <col min="3" max="3" width="11.8823529411765" customWidth="1"/>
    <col min="4" max="4" width="10.4117647058824" customWidth="1"/>
    <col min="5" max="5" width="26.2205882352941" customWidth="1"/>
    <col min="6" max="6" width="6.24264705882353" customWidth="1"/>
    <col min="7" max="13" width="14.4632352941176" customWidth="1"/>
    <col min="14" max="15" width="18.0073529411765" customWidth="1"/>
    <col min="16" max="16" width="16.9117647058824" customWidth="1"/>
  </cols>
  <sheetData>
    <row r="1" ht="36" customHeight="1" spans="1:16">
      <c r="A1" s="2" t="s">
        <v>0</v>
      </c>
      <c r="B1" s="2" t="s">
        <v>1</v>
      </c>
      <c r="C1" s="2" t="s">
        <v>2</v>
      </c>
      <c r="D1" s="2" t="s">
        <v>3</v>
      </c>
      <c r="E1" s="2" t="s">
        <v>4</v>
      </c>
      <c r="F1" s="2" t="s">
        <v>5</v>
      </c>
      <c r="G1" s="2" t="s">
        <v>6</v>
      </c>
      <c r="H1" s="13" t="s">
        <v>7</v>
      </c>
      <c r="I1" s="2" t="s">
        <v>8</v>
      </c>
      <c r="J1" s="13" t="s">
        <v>9</v>
      </c>
      <c r="K1" s="2" t="s">
        <v>10</v>
      </c>
      <c r="L1" s="13" t="s">
        <v>11</v>
      </c>
      <c r="M1" s="13" t="s">
        <v>12</v>
      </c>
      <c r="N1" s="2" t="s">
        <v>13</v>
      </c>
      <c r="O1" s="2" t="s">
        <v>14</v>
      </c>
      <c r="P1" s="2" t="s">
        <v>15</v>
      </c>
    </row>
    <row r="2" ht="128" customHeight="1" spans="1:16">
      <c r="A2" s="3" t="s">
        <v>16</v>
      </c>
      <c r="B2" s="3" t="s">
        <v>17</v>
      </c>
      <c r="C2" s="3" t="s">
        <v>18</v>
      </c>
      <c r="D2" s="3" t="s">
        <v>19</v>
      </c>
      <c r="E2" s="12" t="s">
        <v>20</v>
      </c>
      <c r="F2" s="3">
        <v>2014</v>
      </c>
      <c r="G2" s="3" t="s">
        <v>21</v>
      </c>
      <c r="H2" s="12" t="s">
        <v>22</v>
      </c>
      <c r="I2" s="3" t="s">
        <v>23</v>
      </c>
      <c r="J2" s="3" t="s">
        <v>24</v>
      </c>
      <c r="K2" s="3" t="s">
        <v>25</v>
      </c>
      <c r="L2" s="3" t="s">
        <v>26</v>
      </c>
      <c r="M2" s="3" t="s">
        <v>27</v>
      </c>
      <c r="N2" s="12" t="s">
        <v>28</v>
      </c>
      <c r="O2" s="3" t="s">
        <v>29</v>
      </c>
      <c r="P2" s="12" t="s">
        <v>30</v>
      </c>
    </row>
    <row r="3" ht="128" customHeight="1" spans="1:16">
      <c r="A3" s="3" t="s">
        <v>31</v>
      </c>
      <c r="B3" s="3" t="s">
        <v>32</v>
      </c>
      <c r="C3" s="3" t="s">
        <v>33</v>
      </c>
      <c r="D3" s="3" t="s">
        <v>19</v>
      </c>
      <c r="E3" s="12" t="s">
        <v>34</v>
      </c>
      <c r="F3" s="3">
        <v>2015</v>
      </c>
      <c r="G3" s="3" t="s">
        <v>35</v>
      </c>
      <c r="H3" s="3" t="s">
        <v>36</v>
      </c>
      <c r="I3" s="3" t="s">
        <v>37</v>
      </c>
      <c r="J3" s="3" t="s">
        <v>38</v>
      </c>
      <c r="K3" s="3" t="s">
        <v>39</v>
      </c>
      <c r="L3" s="3" t="s">
        <v>40</v>
      </c>
      <c r="M3" s="3" t="s">
        <v>41</v>
      </c>
      <c r="N3" s="12" t="s">
        <v>42</v>
      </c>
      <c r="O3" s="12" t="s">
        <v>43</v>
      </c>
      <c r="P3" s="3">
        <f>2500/20</f>
        <v>125</v>
      </c>
    </row>
    <row r="4" ht="128" customHeight="1" spans="1:16">
      <c r="A4" s="12" t="s">
        <v>44</v>
      </c>
      <c r="B4" s="3" t="s">
        <v>45</v>
      </c>
      <c r="C4" s="3" t="s">
        <v>46</v>
      </c>
      <c r="D4" s="3" t="s">
        <v>19</v>
      </c>
      <c r="E4" s="3" t="s">
        <v>47</v>
      </c>
      <c r="F4" s="3">
        <v>2014</v>
      </c>
      <c r="G4" s="3" t="s">
        <v>48</v>
      </c>
      <c r="H4" s="3" t="s">
        <v>49</v>
      </c>
      <c r="I4" s="3" t="s">
        <v>50</v>
      </c>
      <c r="J4" s="3" t="s">
        <v>51</v>
      </c>
      <c r="K4" s="3" t="s">
        <v>52</v>
      </c>
      <c r="L4" s="3" t="s">
        <v>53</v>
      </c>
      <c r="M4" s="3" t="s">
        <v>54</v>
      </c>
      <c r="N4" s="12" t="s">
        <v>28</v>
      </c>
      <c r="O4" s="12" t="s">
        <v>55</v>
      </c>
      <c r="P4" s="3">
        <v>70</v>
      </c>
    </row>
    <row r="5" ht="128" customHeight="1" spans="1:16">
      <c r="A5" s="5" t="s">
        <v>56</v>
      </c>
      <c r="B5" s="5" t="s">
        <v>57</v>
      </c>
      <c r="C5" s="5" t="s">
        <v>33</v>
      </c>
      <c r="D5" s="5" t="s">
        <v>19</v>
      </c>
      <c r="E5" s="5" t="s">
        <v>58</v>
      </c>
      <c r="F5" s="5">
        <v>2014</v>
      </c>
      <c r="G5" s="5" t="s">
        <v>59</v>
      </c>
      <c r="H5" s="5" t="s">
        <v>60</v>
      </c>
      <c r="I5" s="5" t="s">
        <v>61</v>
      </c>
      <c r="J5" s="5" t="s">
        <v>62</v>
      </c>
      <c r="K5" s="5" t="s">
        <v>63</v>
      </c>
      <c r="L5" s="5" t="s">
        <v>64</v>
      </c>
      <c r="M5" s="5" t="s">
        <v>65</v>
      </c>
      <c r="N5" s="5" t="s">
        <v>66</v>
      </c>
      <c r="O5" s="5" t="s">
        <v>67</v>
      </c>
      <c r="P5" s="5" t="s">
        <v>68</v>
      </c>
    </row>
    <row r="6" ht="128" customHeight="1" spans="1:16">
      <c r="A6" s="3" t="s">
        <v>69</v>
      </c>
      <c r="B6" s="3" t="s">
        <v>70</v>
      </c>
      <c r="C6" s="3" t="s">
        <v>33</v>
      </c>
      <c r="D6" s="3" t="s">
        <v>19</v>
      </c>
      <c r="E6" s="3" t="s">
        <v>71</v>
      </c>
      <c r="F6" s="3">
        <v>2015</v>
      </c>
      <c r="G6" s="3" t="s">
        <v>72</v>
      </c>
      <c r="H6" s="3" t="s">
        <v>73</v>
      </c>
      <c r="I6" s="3" t="s">
        <v>74</v>
      </c>
      <c r="J6" s="3" t="s">
        <v>75</v>
      </c>
      <c r="K6" s="3" t="s">
        <v>76</v>
      </c>
      <c r="L6" s="3" t="s">
        <v>77</v>
      </c>
      <c r="M6" s="3" t="s">
        <v>78</v>
      </c>
      <c r="N6" s="3" t="s">
        <v>79</v>
      </c>
      <c r="O6" s="3" t="s">
        <v>80</v>
      </c>
      <c r="P6" s="3" t="s">
        <v>68</v>
      </c>
    </row>
    <row r="7" ht="128" customHeight="1" spans="1:16">
      <c r="A7" s="5" t="s">
        <v>81</v>
      </c>
      <c r="B7" s="5" t="s">
        <v>82</v>
      </c>
      <c r="C7" s="5" t="s">
        <v>33</v>
      </c>
      <c r="D7" s="5" t="s">
        <v>19</v>
      </c>
      <c r="E7" s="5" t="s">
        <v>83</v>
      </c>
      <c r="F7" s="5">
        <v>2015</v>
      </c>
      <c r="G7" s="5" t="s">
        <v>84</v>
      </c>
      <c r="H7" s="5" t="s">
        <v>85</v>
      </c>
      <c r="I7" s="5" t="s">
        <v>86</v>
      </c>
      <c r="J7" s="5" t="s">
        <v>87</v>
      </c>
      <c r="K7" s="5" t="s">
        <v>88</v>
      </c>
      <c r="L7" s="5" t="s">
        <v>89</v>
      </c>
      <c r="M7" s="5" t="s">
        <v>90</v>
      </c>
      <c r="N7" s="5" t="s">
        <v>91</v>
      </c>
      <c r="O7" s="5" t="s">
        <v>92</v>
      </c>
      <c r="P7" s="5" t="s">
        <v>93</v>
      </c>
    </row>
    <row r="8" ht="128" customHeight="1" spans="1:16">
      <c r="A8" s="3" t="s">
        <v>94</v>
      </c>
      <c r="B8" s="3" t="s">
        <v>95</v>
      </c>
      <c r="C8" s="3" t="s">
        <v>33</v>
      </c>
      <c r="D8" s="3" t="s">
        <v>19</v>
      </c>
      <c r="E8" s="3" t="s">
        <v>96</v>
      </c>
      <c r="F8" s="3">
        <v>2015</v>
      </c>
      <c r="G8" s="3" t="s">
        <v>97</v>
      </c>
      <c r="H8" s="3" t="s">
        <v>98</v>
      </c>
      <c r="I8" s="3" t="s">
        <v>99</v>
      </c>
      <c r="J8" s="3" t="s">
        <v>100</v>
      </c>
      <c r="K8" s="3" t="s">
        <v>101</v>
      </c>
      <c r="L8" s="3" t="s">
        <v>102</v>
      </c>
      <c r="M8" s="3" t="s">
        <v>103</v>
      </c>
      <c r="N8" s="3" t="s">
        <v>104</v>
      </c>
      <c r="O8" s="3" t="s">
        <v>105</v>
      </c>
      <c r="P8" s="3" t="s">
        <v>106</v>
      </c>
    </row>
    <row r="9" ht="128" customHeight="1" spans="1:16">
      <c r="A9" s="5" t="s">
        <v>107</v>
      </c>
      <c r="B9" s="5" t="s">
        <v>108</v>
      </c>
      <c r="C9" s="5" t="s">
        <v>109</v>
      </c>
      <c r="D9" s="5" t="s">
        <v>19</v>
      </c>
      <c r="E9" s="5" t="s">
        <v>110</v>
      </c>
      <c r="F9" s="5">
        <v>2015</v>
      </c>
      <c r="G9" s="5" t="s">
        <v>111</v>
      </c>
      <c r="H9" s="5" t="s">
        <v>112</v>
      </c>
      <c r="I9" s="5" t="s">
        <v>113</v>
      </c>
      <c r="J9" s="5" t="s">
        <v>114</v>
      </c>
      <c r="K9" s="5" t="s">
        <v>115</v>
      </c>
      <c r="L9" s="5" t="s">
        <v>116</v>
      </c>
      <c r="M9" s="5" t="s">
        <v>117</v>
      </c>
      <c r="N9" s="5" t="s">
        <v>118</v>
      </c>
      <c r="O9" s="5" t="s">
        <v>119</v>
      </c>
      <c r="P9" s="5" t="s">
        <v>68</v>
      </c>
    </row>
    <row r="10" ht="128" customHeight="1" spans="1:16">
      <c r="A10" s="5" t="s">
        <v>120</v>
      </c>
      <c r="B10" s="5" t="s">
        <v>121</v>
      </c>
      <c r="C10" s="5" t="s">
        <v>122</v>
      </c>
      <c r="D10" s="5" t="s">
        <v>19</v>
      </c>
      <c r="E10" s="5" t="s">
        <v>123</v>
      </c>
      <c r="F10" s="5">
        <v>2015</v>
      </c>
      <c r="G10" s="5" t="s">
        <v>124</v>
      </c>
      <c r="H10" s="5" t="s">
        <v>125</v>
      </c>
      <c r="I10" s="5" t="s">
        <v>126</v>
      </c>
      <c r="J10" s="5" t="s">
        <v>127</v>
      </c>
      <c r="K10" s="5" t="s">
        <v>128</v>
      </c>
      <c r="L10" s="5" t="s">
        <v>129</v>
      </c>
      <c r="M10" s="5" t="s">
        <v>130</v>
      </c>
      <c r="N10" s="5" t="s">
        <v>131</v>
      </c>
      <c r="O10" s="5" t="s">
        <v>132</v>
      </c>
      <c r="P10" s="5" t="s">
        <v>133</v>
      </c>
    </row>
    <row r="11" ht="128" customHeight="1" spans="1:16">
      <c r="A11" s="3" t="s">
        <v>134</v>
      </c>
      <c r="B11" s="3" t="s">
        <v>135</v>
      </c>
      <c r="C11" s="3" t="s">
        <v>136</v>
      </c>
      <c r="D11" s="3" t="s">
        <v>19</v>
      </c>
      <c r="E11" s="3" t="s">
        <v>137</v>
      </c>
      <c r="F11" s="3">
        <v>2015</v>
      </c>
      <c r="G11" s="3" t="s">
        <v>138</v>
      </c>
      <c r="H11" s="3" t="s">
        <v>139</v>
      </c>
      <c r="I11" s="3" t="s">
        <v>140</v>
      </c>
      <c r="J11" s="3" t="s">
        <v>141</v>
      </c>
      <c r="K11" s="3" t="s">
        <v>142</v>
      </c>
      <c r="L11" s="3" t="s">
        <v>143</v>
      </c>
      <c r="M11" s="3" t="s">
        <v>144</v>
      </c>
      <c r="N11" s="3" t="s">
        <v>145</v>
      </c>
      <c r="O11" s="3" t="s">
        <v>146</v>
      </c>
      <c r="P11" s="3" t="s">
        <v>147</v>
      </c>
    </row>
    <row r="12" ht="128" customHeight="1" spans="1:16">
      <c r="A12" s="5" t="s">
        <v>148</v>
      </c>
      <c r="B12" s="5" t="s">
        <v>149</v>
      </c>
      <c r="C12" s="5" t="s">
        <v>136</v>
      </c>
      <c r="D12" s="5" t="s">
        <v>19</v>
      </c>
      <c r="E12" s="5" t="s">
        <v>150</v>
      </c>
      <c r="F12" s="5">
        <v>2015</v>
      </c>
      <c r="G12" s="5" t="s">
        <v>151</v>
      </c>
      <c r="H12" s="5" t="s">
        <v>152</v>
      </c>
      <c r="I12" s="5" t="s">
        <v>153</v>
      </c>
      <c r="J12" s="5" t="s">
        <v>154</v>
      </c>
      <c r="K12" s="5" t="s">
        <v>155</v>
      </c>
      <c r="L12" s="5" t="s">
        <v>156</v>
      </c>
      <c r="M12" s="5" t="s">
        <v>157</v>
      </c>
      <c r="N12" s="5" t="s">
        <v>158</v>
      </c>
      <c r="O12" s="5" t="s">
        <v>159</v>
      </c>
      <c r="P12" s="5" t="s">
        <v>68</v>
      </c>
    </row>
    <row r="13" ht="128" customHeight="1" spans="1:16">
      <c r="A13" s="3" t="s">
        <v>160</v>
      </c>
      <c r="B13" s="3" t="s">
        <v>161</v>
      </c>
      <c r="C13" s="3" t="s">
        <v>18</v>
      </c>
      <c r="D13" s="3" t="s">
        <v>19</v>
      </c>
      <c r="E13" s="3" t="s">
        <v>162</v>
      </c>
      <c r="F13" s="3">
        <v>2016</v>
      </c>
      <c r="G13" s="3" t="s">
        <v>163</v>
      </c>
      <c r="H13" s="3" t="s">
        <v>164</v>
      </c>
      <c r="I13" s="3" t="s">
        <v>165</v>
      </c>
      <c r="J13" s="3" t="s">
        <v>166</v>
      </c>
      <c r="K13" s="3" t="s">
        <v>167</v>
      </c>
      <c r="L13" s="3" t="s">
        <v>168</v>
      </c>
      <c r="M13" s="3" t="s">
        <v>169</v>
      </c>
      <c r="N13" s="3" t="s">
        <v>170</v>
      </c>
      <c r="O13" s="3" t="s">
        <v>171</v>
      </c>
      <c r="P13" s="3" t="s">
        <v>172</v>
      </c>
    </row>
    <row r="14" ht="128" customHeight="1" spans="1:16">
      <c r="A14" s="3" t="s">
        <v>173</v>
      </c>
      <c r="B14" s="3" t="s">
        <v>174</v>
      </c>
      <c r="C14" s="3" t="s">
        <v>33</v>
      </c>
      <c r="D14" s="3" t="s">
        <v>19</v>
      </c>
      <c r="E14" s="3" t="s">
        <v>175</v>
      </c>
      <c r="F14" s="3">
        <v>2016</v>
      </c>
      <c r="G14" s="3" t="s">
        <v>176</v>
      </c>
      <c r="H14" s="3" t="s">
        <v>177</v>
      </c>
      <c r="I14" s="3" t="s">
        <v>178</v>
      </c>
      <c r="J14" s="3" t="s">
        <v>179</v>
      </c>
      <c r="K14" s="3" t="s">
        <v>180</v>
      </c>
      <c r="L14" s="3" t="s">
        <v>181</v>
      </c>
      <c r="M14" s="3" t="s">
        <v>182</v>
      </c>
      <c r="N14" s="3" t="s">
        <v>183</v>
      </c>
      <c r="O14" s="3" t="s">
        <v>184</v>
      </c>
      <c r="P14" s="3" t="s">
        <v>185</v>
      </c>
    </row>
    <row r="15" ht="128" customHeight="1" spans="1:16">
      <c r="A15" s="5" t="s">
        <v>186</v>
      </c>
      <c r="B15" s="5" t="s">
        <v>187</v>
      </c>
      <c r="C15" s="5" t="s">
        <v>33</v>
      </c>
      <c r="D15" s="5" t="s">
        <v>19</v>
      </c>
      <c r="E15" s="5" t="s">
        <v>188</v>
      </c>
      <c r="F15" s="5">
        <v>2016</v>
      </c>
      <c r="G15" s="5" t="s">
        <v>189</v>
      </c>
      <c r="H15" s="5" t="s">
        <v>190</v>
      </c>
      <c r="I15" s="5" t="s">
        <v>191</v>
      </c>
      <c r="J15" s="5" t="s">
        <v>192</v>
      </c>
      <c r="K15" s="5" t="s">
        <v>193</v>
      </c>
      <c r="L15" s="5" t="s">
        <v>194</v>
      </c>
      <c r="M15" s="5" t="s">
        <v>195</v>
      </c>
      <c r="N15" s="5" t="s">
        <v>196</v>
      </c>
      <c r="O15" s="5" t="s">
        <v>197</v>
      </c>
      <c r="P15" s="5" t="s">
        <v>68</v>
      </c>
    </row>
    <row r="16" ht="128" customHeight="1" spans="1:16">
      <c r="A16" s="3" t="s">
        <v>198</v>
      </c>
      <c r="B16" s="3" t="s">
        <v>199</v>
      </c>
      <c r="C16" s="3" t="s">
        <v>200</v>
      </c>
      <c r="D16" s="3" t="s">
        <v>19</v>
      </c>
      <c r="E16" s="3" t="s">
        <v>201</v>
      </c>
      <c r="F16" s="3">
        <v>2016</v>
      </c>
      <c r="G16" s="3" t="s">
        <v>202</v>
      </c>
      <c r="H16" s="3" t="s">
        <v>203</v>
      </c>
      <c r="I16" s="3" t="s">
        <v>204</v>
      </c>
      <c r="J16" s="3" t="s">
        <v>205</v>
      </c>
      <c r="K16" s="3" t="s">
        <v>206</v>
      </c>
      <c r="L16" s="3" t="s">
        <v>207</v>
      </c>
      <c r="M16" s="3" t="s">
        <v>208</v>
      </c>
      <c r="N16" s="3" t="s">
        <v>209</v>
      </c>
      <c r="O16" s="3" t="s">
        <v>210</v>
      </c>
      <c r="P16" s="3" t="s">
        <v>211</v>
      </c>
    </row>
    <row r="17" ht="128" customHeight="1" spans="1:16">
      <c r="A17" s="3" t="s">
        <v>212</v>
      </c>
      <c r="B17" s="3" t="s">
        <v>213</v>
      </c>
      <c r="C17" s="3" t="s">
        <v>200</v>
      </c>
      <c r="D17" s="3" t="s">
        <v>19</v>
      </c>
      <c r="E17" s="3" t="s">
        <v>214</v>
      </c>
      <c r="F17" s="3">
        <v>2016</v>
      </c>
      <c r="G17" s="3" t="s">
        <v>215</v>
      </c>
      <c r="H17" s="3" t="s">
        <v>216</v>
      </c>
      <c r="I17" s="3" t="s">
        <v>217</v>
      </c>
      <c r="J17" s="3" t="s">
        <v>218</v>
      </c>
      <c r="K17" s="3" t="s">
        <v>219</v>
      </c>
      <c r="L17" s="3" t="s">
        <v>220</v>
      </c>
      <c r="M17" s="3" t="s">
        <v>221</v>
      </c>
      <c r="N17" s="3" t="s">
        <v>222</v>
      </c>
      <c r="O17" s="3" t="s">
        <v>223</v>
      </c>
      <c r="P17" s="3" t="s">
        <v>68</v>
      </c>
    </row>
    <row r="18" ht="128" customHeight="1" spans="1:16">
      <c r="A18" s="5" t="s">
        <v>224</v>
      </c>
      <c r="B18" s="5" t="s">
        <v>225</v>
      </c>
      <c r="C18" s="5" t="s">
        <v>200</v>
      </c>
      <c r="D18" s="5" t="s">
        <v>19</v>
      </c>
      <c r="E18" s="5" t="s">
        <v>226</v>
      </c>
      <c r="F18" s="5">
        <v>2016</v>
      </c>
      <c r="G18" s="5" t="s">
        <v>227</v>
      </c>
      <c r="H18" s="5" t="s">
        <v>228</v>
      </c>
      <c r="I18" s="5" t="s">
        <v>229</v>
      </c>
      <c r="J18" s="5" t="s">
        <v>230</v>
      </c>
      <c r="K18" s="5" t="s">
        <v>231</v>
      </c>
      <c r="L18" s="5" t="s">
        <v>232</v>
      </c>
      <c r="M18" s="11" t="s">
        <v>233</v>
      </c>
      <c r="N18" s="5" t="s">
        <v>234</v>
      </c>
      <c r="O18" s="5" t="s">
        <v>235</v>
      </c>
      <c r="P18" s="5" t="s">
        <v>236</v>
      </c>
    </row>
    <row r="19" ht="128" customHeight="1" spans="1:16">
      <c r="A19" s="3" t="s">
        <v>237</v>
      </c>
      <c r="B19" s="3" t="s">
        <v>238</v>
      </c>
      <c r="C19" s="3" t="s">
        <v>109</v>
      </c>
      <c r="D19" s="3" t="s">
        <v>19</v>
      </c>
      <c r="E19" s="3" t="s">
        <v>239</v>
      </c>
      <c r="F19" s="3">
        <v>2016</v>
      </c>
      <c r="G19" s="3" t="s">
        <v>240</v>
      </c>
      <c r="H19" s="12" t="s">
        <v>241</v>
      </c>
      <c r="I19" s="3" t="s">
        <v>242</v>
      </c>
      <c r="J19" s="3" t="s">
        <v>243</v>
      </c>
      <c r="K19" s="3" t="s">
        <v>244</v>
      </c>
      <c r="L19" s="3" t="s">
        <v>245</v>
      </c>
      <c r="M19" s="3" t="s">
        <v>246</v>
      </c>
      <c r="N19" s="3" t="s">
        <v>247</v>
      </c>
      <c r="O19" s="3" t="s">
        <v>248</v>
      </c>
      <c r="P19" s="3" t="s">
        <v>249</v>
      </c>
    </row>
    <row r="20" ht="128" customHeight="1" spans="1:16">
      <c r="A20" s="3" t="s">
        <v>250</v>
      </c>
      <c r="B20" s="3" t="s">
        <v>251</v>
      </c>
      <c r="C20" s="3" t="s">
        <v>252</v>
      </c>
      <c r="D20" s="3" t="s">
        <v>19</v>
      </c>
      <c r="E20" s="3" t="s">
        <v>253</v>
      </c>
      <c r="F20" s="3">
        <v>2016</v>
      </c>
      <c r="G20" s="3" t="s">
        <v>254</v>
      </c>
      <c r="H20" s="3" t="s">
        <v>255</v>
      </c>
      <c r="I20" s="3" t="s">
        <v>256</v>
      </c>
      <c r="J20" s="3" t="s">
        <v>257</v>
      </c>
      <c r="K20" s="3" t="s">
        <v>258</v>
      </c>
      <c r="L20" s="3" t="s">
        <v>259</v>
      </c>
      <c r="M20" s="3" t="s">
        <v>260</v>
      </c>
      <c r="N20" s="3" t="s">
        <v>261</v>
      </c>
      <c r="O20" s="3" t="s">
        <v>262</v>
      </c>
      <c r="P20" s="3" t="s">
        <v>68</v>
      </c>
    </row>
    <row r="21" ht="128" customHeight="1" spans="1:16">
      <c r="A21" s="5" t="s">
        <v>263</v>
      </c>
      <c r="B21" s="5" t="s">
        <v>264</v>
      </c>
      <c r="C21" s="5" t="s">
        <v>122</v>
      </c>
      <c r="D21" s="5" t="s">
        <v>19</v>
      </c>
      <c r="E21" s="5" t="s">
        <v>265</v>
      </c>
      <c r="F21" s="5">
        <v>2017</v>
      </c>
      <c r="G21" s="5" t="s">
        <v>266</v>
      </c>
      <c r="H21" s="5" t="s">
        <v>267</v>
      </c>
      <c r="I21" s="5" t="s">
        <v>268</v>
      </c>
      <c r="J21" s="5" t="s">
        <v>269</v>
      </c>
      <c r="K21" s="5" t="s">
        <v>270</v>
      </c>
      <c r="L21" s="5" t="s">
        <v>271</v>
      </c>
      <c r="M21" s="5" t="s">
        <v>272</v>
      </c>
      <c r="N21" s="5" t="s">
        <v>273</v>
      </c>
      <c r="O21" s="5" t="s">
        <v>274</v>
      </c>
      <c r="P21" s="5" t="s">
        <v>275</v>
      </c>
    </row>
    <row r="22" ht="128" customHeight="1" spans="1:16">
      <c r="A22" s="3" t="s">
        <v>276</v>
      </c>
      <c r="B22" s="3" t="s">
        <v>277</v>
      </c>
      <c r="C22" s="3" t="s">
        <v>200</v>
      </c>
      <c r="D22" s="3" t="s">
        <v>19</v>
      </c>
      <c r="E22" s="12" t="s">
        <v>278</v>
      </c>
      <c r="F22" s="3">
        <v>2017</v>
      </c>
      <c r="G22" s="3" t="s">
        <v>279</v>
      </c>
      <c r="H22" s="3" t="s">
        <v>280</v>
      </c>
      <c r="I22" s="3" t="s">
        <v>281</v>
      </c>
      <c r="J22" s="3" t="s">
        <v>282</v>
      </c>
      <c r="K22" s="3" t="s">
        <v>283</v>
      </c>
      <c r="L22" s="3" t="s">
        <v>284</v>
      </c>
      <c r="M22" s="12" t="s">
        <v>285</v>
      </c>
      <c r="N22" s="3" t="s">
        <v>286</v>
      </c>
      <c r="O22" s="3" t="s">
        <v>287</v>
      </c>
      <c r="P22" s="3" t="s">
        <v>68</v>
      </c>
    </row>
    <row r="23" ht="128" customHeight="1" spans="1:16">
      <c r="A23" s="5" t="s">
        <v>288</v>
      </c>
      <c r="B23" s="5" t="s">
        <v>289</v>
      </c>
      <c r="C23" s="5" t="s">
        <v>33</v>
      </c>
      <c r="D23" s="5" t="s">
        <v>19</v>
      </c>
      <c r="E23" s="5" t="s">
        <v>290</v>
      </c>
      <c r="F23" s="5">
        <v>2018</v>
      </c>
      <c r="G23" s="5" t="s">
        <v>291</v>
      </c>
      <c r="H23" s="5" t="s">
        <v>292</v>
      </c>
      <c r="I23" s="5" t="s">
        <v>293</v>
      </c>
      <c r="J23" s="5" t="s">
        <v>294</v>
      </c>
      <c r="K23" s="5" t="s">
        <v>295</v>
      </c>
      <c r="L23" s="5" t="s">
        <v>296</v>
      </c>
      <c r="M23" s="5" t="s">
        <v>297</v>
      </c>
      <c r="N23" s="5" t="s">
        <v>298</v>
      </c>
      <c r="O23" s="5" t="s">
        <v>299</v>
      </c>
      <c r="P23" s="5" t="s">
        <v>68</v>
      </c>
    </row>
    <row r="24" ht="128" customHeight="1" spans="1:16">
      <c r="A24" s="5" t="s">
        <v>300</v>
      </c>
      <c r="B24" s="5" t="s">
        <v>301</v>
      </c>
      <c r="C24" s="5" t="s">
        <v>252</v>
      </c>
      <c r="D24" s="5" t="s">
        <v>19</v>
      </c>
      <c r="E24" s="5" t="s">
        <v>302</v>
      </c>
      <c r="F24" s="5">
        <v>2018</v>
      </c>
      <c r="G24" s="5" t="s">
        <v>303</v>
      </c>
      <c r="H24" s="5" t="s">
        <v>304</v>
      </c>
      <c r="I24" s="5" t="s">
        <v>305</v>
      </c>
      <c r="J24" s="5" t="s">
        <v>306</v>
      </c>
      <c r="K24" s="5" t="s">
        <v>307</v>
      </c>
      <c r="L24" s="5" t="s">
        <v>308</v>
      </c>
      <c r="M24" s="5" t="s">
        <v>309</v>
      </c>
      <c r="N24" s="5" t="s">
        <v>310</v>
      </c>
      <c r="O24" s="5" t="s">
        <v>311</v>
      </c>
      <c r="P24" s="5" t="s">
        <v>68</v>
      </c>
    </row>
    <row r="25" ht="128" customHeight="1" spans="1:16">
      <c r="A25" s="3" t="s">
        <v>312</v>
      </c>
      <c r="B25" s="3" t="s">
        <v>313</v>
      </c>
      <c r="C25" s="3" t="s">
        <v>314</v>
      </c>
      <c r="D25" s="3" t="s">
        <v>19</v>
      </c>
      <c r="E25" s="3" t="s">
        <v>315</v>
      </c>
      <c r="F25" s="3">
        <v>2019</v>
      </c>
      <c r="G25" s="3" t="s">
        <v>316</v>
      </c>
      <c r="H25" s="3" t="s">
        <v>317</v>
      </c>
      <c r="I25" s="3" t="s">
        <v>318</v>
      </c>
      <c r="J25" s="3" t="s">
        <v>319</v>
      </c>
      <c r="K25" s="3" t="s">
        <v>320</v>
      </c>
      <c r="L25" s="3" t="s">
        <v>321</v>
      </c>
      <c r="M25" s="3" t="s">
        <v>322</v>
      </c>
      <c r="N25" s="3" t="s">
        <v>323</v>
      </c>
      <c r="O25" s="3" t="s">
        <v>324</v>
      </c>
      <c r="P25" s="3" t="s">
        <v>325</v>
      </c>
    </row>
    <row r="26" ht="128" customHeight="1" spans="1:16">
      <c r="A26" s="3" t="s">
        <v>326</v>
      </c>
      <c r="B26" s="3" t="s">
        <v>327</v>
      </c>
      <c r="C26" s="3" t="s">
        <v>122</v>
      </c>
      <c r="D26" s="3" t="s">
        <v>19</v>
      </c>
      <c r="E26" s="12" t="s">
        <v>328</v>
      </c>
      <c r="F26" s="3">
        <v>2020</v>
      </c>
      <c r="G26" s="3" t="s">
        <v>329</v>
      </c>
      <c r="H26" s="3" t="s">
        <v>330</v>
      </c>
      <c r="I26" s="3" t="s">
        <v>331</v>
      </c>
      <c r="J26" s="3" t="s">
        <v>332</v>
      </c>
      <c r="K26" s="3" t="s">
        <v>333</v>
      </c>
      <c r="L26" s="3" t="s">
        <v>334</v>
      </c>
      <c r="M26" s="12" t="s">
        <v>335</v>
      </c>
      <c r="N26" s="3" t="s">
        <v>336</v>
      </c>
      <c r="O26" s="3" t="s">
        <v>337</v>
      </c>
      <c r="P26" s="3" t="s">
        <v>338</v>
      </c>
    </row>
    <row r="27" ht="128" customHeight="1" spans="1:16">
      <c r="A27" s="3" t="s">
        <v>339</v>
      </c>
      <c r="B27" s="3" t="s">
        <v>340</v>
      </c>
      <c r="C27" s="3" t="s">
        <v>341</v>
      </c>
      <c r="D27" s="3" t="s">
        <v>19</v>
      </c>
      <c r="E27" s="3" t="s">
        <v>342</v>
      </c>
      <c r="F27" s="3">
        <v>2020</v>
      </c>
      <c r="G27" s="3" t="s">
        <v>343</v>
      </c>
      <c r="H27" s="3" t="s">
        <v>344</v>
      </c>
      <c r="I27" s="3" t="s">
        <v>345</v>
      </c>
      <c r="J27" s="3" t="s">
        <v>346</v>
      </c>
      <c r="K27" s="3" t="s">
        <v>347</v>
      </c>
      <c r="L27" s="3" t="s">
        <v>348</v>
      </c>
      <c r="M27" s="3" t="s">
        <v>349</v>
      </c>
      <c r="N27" s="3" t="s">
        <v>350</v>
      </c>
      <c r="O27" s="3" t="s">
        <v>351</v>
      </c>
      <c r="P27" s="3" t="s">
        <v>352</v>
      </c>
    </row>
    <row r="28" ht="128" customHeight="1" spans="1:16">
      <c r="A28" s="3" t="s">
        <v>353</v>
      </c>
      <c r="B28" s="3" t="s">
        <v>354</v>
      </c>
      <c r="C28" s="3" t="s">
        <v>33</v>
      </c>
      <c r="D28" s="3" t="s">
        <v>19</v>
      </c>
      <c r="E28" s="12" t="s">
        <v>355</v>
      </c>
      <c r="F28" s="3">
        <v>2020</v>
      </c>
      <c r="G28" s="12" t="s">
        <v>356</v>
      </c>
      <c r="H28" s="12" t="s">
        <v>357</v>
      </c>
      <c r="I28" s="3" t="s">
        <v>358</v>
      </c>
      <c r="J28" s="12" t="s">
        <v>359</v>
      </c>
      <c r="K28" s="3" t="s">
        <v>360</v>
      </c>
      <c r="L28" s="12" t="s">
        <v>361</v>
      </c>
      <c r="M28" s="12" t="s">
        <v>362</v>
      </c>
      <c r="N28" s="3" t="s">
        <v>363</v>
      </c>
      <c r="O28" s="3" t="s">
        <v>299</v>
      </c>
      <c r="P28" s="3" t="s">
        <v>68</v>
      </c>
    </row>
    <row r="29" ht="128" customHeight="1" spans="1:16">
      <c r="A29" s="5" t="s">
        <v>364</v>
      </c>
      <c r="B29" s="5" t="s">
        <v>365</v>
      </c>
      <c r="C29" s="5" t="s">
        <v>33</v>
      </c>
      <c r="D29" s="5" t="s">
        <v>19</v>
      </c>
      <c r="E29" s="11" t="s">
        <v>366</v>
      </c>
      <c r="F29" s="5">
        <v>2020</v>
      </c>
      <c r="G29" s="5" t="s">
        <v>367</v>
      </c>
      <c r="H29" s="5" t="s">
        <v>368</v>
      </c>
      <c r="I29" s="5" t="s">
        <v>369</v>
      </c>
      <c r="J29" s="5" t="s">
        <v>370</v>
      </c>
      <c r="K29" s="5" t="s">
        <v>371</v>
      </c>
      <c r="L29" s="5" t="s">
        <v>372</v>
      </c>
      <c r="M29" s="5" t="s">
        <v>373</v>
      </c>
      <c r="N29" s="5" t="s">
        <v>374</v>
      </c>
      <c r="O29" s="5" t="s">
        <v>375</v>
      </c>
      <c r="P29" s="5" t="s">
        <v>68</v>
      </c>
    </row>
    <row r="30" ht="128" customHeight="1" spans="1:16">
      <c r="A30" s="5" t="s">
        <v>376</v>
      </c>
      <c r="B30" s="5" t="s">
        <v>377</v>
      </c>
      <c r="C30" s="5" t="s">
        <v>200</v>
      </c>
      <c r="D30" s="5" t="s">
        <v>19</v>
      </c>
      <c r="E30" s="5" t="s">
        <v>378</v>
      </c>
      <c r="F30" s="5">
        <v>2020</v>
      </c>
      <c r="G30" s="5" t="s">
        <v>379</v>
      </c>
      <c r="H30" s="5" t="s">
        <v>380</v>
      </c>
      <c r="I30" s="5" t="s">
        <v>381</v>
      </c>
      <c r="J30" s="5" t="s">
        <v>382</v>
      </c>
      <c r="K30" s="5" t="s">
        <v>383</v>
      </c>
      <c r="L30" s="5" t="s">
        <v>384</v>
      </c>
      <c r="M30" s="5" t="s">
        <v>385</v>
      </c>
      <c r="N30" s="5" t="s">
        <v>386</v>
      </c>
      <c r="O30" s="5" t="s">
        <v>387</v>
      </c>
      <c r="P30" s="5" t="s">
        <v>388</v>
      </c>
    </row>
    <row r="31" ht="128" customHeight="1" spans="1:16">
      <c r="A31" s="3" t="s">
        <v>389</v>
      </c>
      <c r="B31" s="3" t="s">
        <v>390</v>
      </c>
      <c r="C31" s="3" t="s">
        <v>122</v>
      </c>
      <c r="D31" s="3" t="s">
        <v>19</v>
      </c>
      <c r="E31" s="3" t="s">
        <v>391</v>
      </c>
      <c r="F31" s="3">
        <v>2020</v>
      </c>
      <c r="G31" s="3" t="s">
        <v>392</v>
      </c>
      <c r="H31" s="3" t="s">
        <v>393</v>
      </c>
      <c r="I31" s="3" t="s">
        <v>394</v>
      </c>
      <c r="J31" s="3" t="s">
        <v>395</v>
      </c>
      <c r="K31" s="3" t="s">
        <v>396</v>
      </c>
      <c r="L31" s="3" t="s">
        <v>397</v>
      </c>
      <c r="M31" s="3" t="s">
        <v>398</v>
      </c>
      <c r="N31" s="3" t="s">
        <v>399</v>
      </c>
      <c r="O31" s="3" t="s">
        <v>400</v>
      </c>
      <c r="P31" s="3" t="s">
        <v>401</v>
      </c>
    </row>
    <row r="32" ht="128" customHeight="1" spans="1:16">
      <c r="A32" s="3" t="s">
        <v>402</v>
      </c>
      <c r="B32" s="3" t="s">
        <v>403</v>
      </c>
      <c r="C32" s="3" t="s">
        <v>122</v>
      </c>
      <c r="D32" s="3" t="s">
        <v>19</v>
      </c>
      <c r="E32" s="3" t="s">
        <v>404</v>
      </c>
      <c r="F32" s="3">
        <v>2020</v>
      </c>
      <c r="G32" s="3" t="s">
        <v>405</v>
      </c>
      <c r="H32" s="3" t="s">
        <v>406</v>
      </c>
      <c r="I32" s="3" t="s">
        <v>407</v>
      </c>
      <c r="J32" s="3" t="s">
        <v>408</v>
      </c>
      <c r="K32" s="3" t="s">
        <v>409</v>
      </c>
      <c r="L32" s="3" t="s">
        <v>410</v>
      </c>
      <c r="M32" s="3" t="s">
        <v>411</v>
      </c>
      <c r="N32" s="3" t="s">
        <v>412</v>
      </c>
      <c r="O32" s="3" t="s">
        <v>413</v>
      </c>
      <c r="P32" s="3" t="s">
        <v>414</v>
      </c>
    </row>
    <row r="33" ht="128" customHeight="1" spans="1:16">
      <c r="A33" s="3" t="s">
        <v>415</v>
      </c>
      <c r="B33" s="3" t="s">
        <v>416</v>
      </c>
      <c r="C33" s="3" t="s">
        <v>200</v>
      </c>
      <c r="D33" s="3" t="s">
        <v>19</v>
      </c>
      <c r="E33" s="12" t="s">
        <v>417</v>
      </c>
      <c r="F33" s="3">
        <v>2021</v>
      </c>
      <c r="G33" s="3" t="s">
        <v>418</v>
      </c>
      <c r="H33" s="3" t="s">
        <v>419</v>
      </c>
      <c r="I33" s="3" t="s">
        <v>420</v>
      </c>
      <c r="J33" s="3" t="s">
        <v>421</v>
      </c>
      <c r="K33" s="3" t="s">
        <v>422</v>
      </c>
      <c r="L33" s="3" t="s">
        <v>423</v>
      </c>
      <c r="M33" s="3" t="s">
        <v>424</v>
      </c>
      <c r="N33" s="3" t="s">
        <v>425</v>
      </c>
      <c r="O33" s="3" t="s">
        <v>426</v>
      </c>
      <c r="P33" s="3" t="s">
        <v>427</v>
      </c>
    </row>
    <row r="34" ht="128" customHeight="1" spans="1:16">
      <c r="A34" s="5" t="s">
        <v>428</v>
      </c>
      <c r="B34" s="5" t="s">
        <v>429</v>
      </c>
      <c r="C34" s="5" t="s">
        <v>109</v>
      </c>
      <c r="D34" s="5" t="s">
        <v>19</v>
      </c>
      <c r="E34" s="5" t="s">
        <v>430</v>
      </c>
      <c r="F34" s="5">
        <v>2021</v>
      </c>
      <c r="G34" s="5" t="s">
        <v>431</v>
      </c>
      <c r="H34" s="5" t="s">
        <v>432</v>
      </c>
      <c r="I34" s="5" t="s">
        <v>433</v>
      </c>
      <c r="J34" s="5" t="s">
        <v>434</v>
      </c>
      <c r="K34" s="5" t="s">
        <v>435</v>
      </c>
      <c r="L34" s="5" t="s">
        <v>436</v>
      </c>
      <c r="M34" s="5" t="s">
        <v>437</v>
      </c>
      <c r="N34" s="5" t="s">
        <v>438</v>
      </c>
      <c r="O34" s="5" t="s">
        <v>439</v>
      </c>
      <c r="P34" s="5" t="s">
        <v>68</v>
      </c>
    </row>
    <row r="35" ht="128" customHeight="1" spans="1:16">
      <c r="A35" s="5" t="s">
        <v>440</v>
      </c>
      <c r="B35" s="5" t="s">
        <v>441</v>
      </c>
      <c r="C35" s="5" t="s">
        <v>122</v>
      </c>
      <c r="D35" s="5" t="s">
        <v>19</v>
      </c>
      <c r="E35" s="5" t="s">
        <v>442</v>
      </c>
      <c r="F35" s="5">
        <v>2022</v>
      </c>
      <c r="G35" s="5" t="s">
        <v>443</v>
      </c>
      <c r="H35" s="5" t="s">
        <v>444</v>
      </c>
      <c r="I35" s="5" t="s">
        <v>445</v>
      </c>
      <c r="J35" s="5" t="s">
        <v>446</v>
      </c>
      <c r="K35" s="5" t="s">
        <v>447</v>
      </c>
      <c r="L35" s="5" t="s">
        <v>448</v>
      </c>
      <c r="M35" s="5" t="s">
        <v>449</v>
      </c>
      <c r="N35" s="5" t="s">
        <v>450</v>
      </c>
      <c r="O35" s="5" t="s">
        <v>451</v>
      </c>
      <c r="P35" s="5" t="s">
        <v>452</v>
      </c>
    </row>
    <row r="36" ht="128" customHeight="1" spans="1:16">
      <c r="A36" s="5" t="s">
        <v>453</v>
      </c>
      <c r="B36" s="5" t="s">
        <v>454</v>
      </c>
      <c r="C36" s="5" t="s">
        <v>314</v>
      </c>
      <c r="D36" s="5" t="s">
        <v>19</v>
      </c>
      <c r="E36" s="11" t="s">
        <v>455</v>
      </c>
      <c r="F36" s="5">
        <v>2022</v>
      </c>
      <c r="G36" s="5" t="s">
        <v>456</v>
      </c>
      <c r="H36" s="5" t="s">
        <v>457</v>
      </c>
      <c r="I36" s="5" t="s">
        <v>458</v>
      </c>
      <c r="J36" s="5" t="s">
        <v>459</v>
      </c>
      <c r="K36" s="5" t="s">
        <v>460</v>
      </c>
      <c r="L36" s="5" t="s">
        <v>461</v>
      </c>
      <c r="M36" s="5" t="s">
        <v>462</v>
      </c>
      <c r="N36" s="5" t="s">
        <v>463</v>
      </c>
      <c r="O36" s="5" t="s">
        <v>464</v>
      </c>
      <c r="P36" s="5" t="s">
        <v>465</v>
      </c>
    </row>
    <row r="37" ht="128" customHeight="1" spans="1:16">
      <c r="A37" s="5" t="s">
        <v>466</v>
      </c>
      <c r="B37" s="5" t="s">
        <v>467</v>
      </c>
      <c r="C37" s="5" t="s">
        <v>18</v>
      </c>
      <c r="D37" s="5" t="s">
        <v>19</v>
      </c>
      <c r="E37" s="11" t="s">
        <v>468</v>
      </c>
      <c r="F37" s="5">
        <v>2023</v>
      </c>
      <c r="G37" s="5" t="s">
        <v>469</v>
      </c>
      <c r="H37" s="5" t="s">
        <v>470</v>
      </c>
      <c r="I37" s="5" t="s">
        <v>471</v>
      </c>
      <c r="J37" s="5" t="s">
        <v>472</v>
      </c>
      <c r="K37" s="5" t="s">
        <v>473</v>
      </c>
      <c r="L37" s="5" t="s">
        <v>474</v>
      </c>
      <c r="M37" s="5" t="s">
        <v>475</v>
      </c>
      <c r="N37" s="5" t="s">
        <v>476</v>
      </c>
      <c r="O37" s="5" t="s">
        <v>477</v>
      </c>
      <c r="P37" s="5" t="s">
        <v>68</v>
      </c>
    </row>
    <row r="38" ht="128" customHeight="1" spans="1:16">
      <c r="A38" s="3" t="s">
        <v>478</v>
      </c>
      <c r="B38" s="3" t="s">
        <v>479</v>
      </c>
      <c r="C38" s="3" t="s">
        <v>18</v>
      </c>
      <c r="D38" s="3" t="s">
        <v>19</v>
      </c>
      <c r="E38" s="3" t="s">
        <v>480</v>
      </c>
      <c r="F38" s="3">
        <v>2023</v>
      </c>
      <c r="G38" s="3" t="s">
        <v>481</v>
      </c>
      <c r="H38" s="3" t="s">
        <v>482</v>
      </c>
      <c r="I38" s="3" t="s">
        <v>483</v>
      </c>
      <c r="J38" s="3" t="s">
        <v>484</v>
      </c>
      <c r="K38" s="3" t="s">
        <v>485</v>
      </c>
      <c r="L38" s="3" t="s">
        <v>486</v>
      </c>
      <c r="M38" s="3" t="s">
        <v>487</v>
      </c>
      <c r="N38" s="3" t="s">
        <v>488</v>
      </c>
      <c r="O38" s="3" t="s">
        <v>489</v>
      </c>
      <c r="P38" s="3" t="s">
        <v>68</v>
      </c>
    </row>
    <row r="39" ht="128" customHeight="1" spans="1:16">
      <c r="A39" s="5" t="s">
        <v>490</v>
      </c>
      <c r="B39" s="5" t="s">
        <v>491</v>
      </c>
      <c r="C39" s="5" t="s">
        <v>18</v>
      </c>
      <c r="D39" s="5" t="s">
        <v>19</v>
      </c>
      <c r="E39" s="5" t="s">
        <v>492</v>
      </c>
      <c r="F39" s="5">
        <v>2023</v>
      </c>
      <c r="G39" s="5" t="s">
        <v>493</v>
      </c>
      <c r="H39" s="5" t="s">
        <v>494</v>
      </c>
      <c r="I39" s="5" t="s">
        <v>495</v>
      </c>
      <c r="J39" s="5" t="s">
        <v>496</v>
      </c>
      <c r="K39" s="5" t="s">
        <v>497</v>
      </c>
      <c r="L39" s="5" t="s">
        <v>498</v>
      </c>
      <c r="M39" s="5" t="s">
        <v>499</v>
      </c>
      <c r="N39" s="5" t="s">
        <v>500</v>
      </c>
      <c r="O39" s="5" t="s">
        <v>501</v>
      </c>
      <c r="P39" s="5" t="s">
        <v>68</v>
      </c>
    </row>
    <row r="40" ht="128" customHeight="1" spans="1:16">
      <c r="A40" s="5" t="s">
        <v>502</v>
      </c>
      <c r="B40" s="5" t="s">
        <v>503</v>
      </c>
      <c r="C40" s="5" t="s">
        <v>314</v>
      </c>
      <c r="D40" s="5" t="s">
        <v>19</v>
      </c>
      <c r="E40" s="5" t="s">
        <v>504</v>
      </c>
      <c r="F40" s="5">
        <v>2023</v>
      </c>
      <c r="G40" s="5" t="s">
        <v>505</v>
      </c>
      <c r="H40" s="5" t="s">
        <v>506</v>
      </c>
      <c r="I40" s="5" t="s">
        <v>507</v>
      </c>
      <c r="J40" s="5" t="s">
        <v>508</v>
      </c>
      <c r="K40" s="5" t="s">
        <v>509</v>
      </c>
      <c r="L40" s="5" t="s">
        <v>510</v>
      </c>
      <c r="M40" s="5" t="s">
        <v>511</v>
      </c>
      <c r="N40" s="5" t="s">
        <v>512</v>
      </c>
      <c r="O40" s="5" t="s">
        <v>513</v>
      </c>
      <c r="P40" s="5" t="s">
        <v>514</v>
      </c>
    </row>
    <row r="41" ht="128" customHeight="1" spans="1:16">
      <c r="A41" s="5" t="s">
        <v>515</v>
      </c>
      <c r="B41" s="5" t="s">
        <v>516</v>
      </c>
      <c r="C41" s="5" t="s">
        <v>314</v>
      </c>
      <c r="D41" s="5" t="s">
        <v>19</v>
      </c>
      <c r="E41" s="5" t="s">
        <v>517</v>
      </c>
      <c r="F41" s="5">
        <v>2023</v>
      </c>
      <c r="G41" s="5" t="s">
        <v>518</v>
      </c>
      <c r="H41" s="5" t="s">
        <v>519</v>
      </c>
      <c r="I41" s="5" t="s">
        <v>520</v>
      </c>
      <c r="J41" s="5" t="s">
        <v>521</v>
      </c>
      <c r="K41" s="5" t="s">
        <v>522</v>
      </c>
      <c r="L41" s="5" t="s">
        <v>523</v>
      </c>
      <c r="M41" s="5" t="s">
        <v>524</v>
      </c>
      <c r="N41" s="5" t="s">
        <v>525</v>
      </c>
      <c r="O41" s="5" t="s">
        <v>526</v>
      </c>
      <c r="P41" s="5" t="s">
        <v>68</v>
      </c>
    </row>
    <row r="42" ht="128" customHeight="1" spans="1:16">
      <c r="A42" s="5" t="s">
        <v>527</v>
      </c>
      <c r="B42" s="5" t="s">
        <v>528</v>
      </c>
      <c r="C42" s="5" t="s">
        <v>46</v>
      </c>
      <c r="D42" s="5" t="s">
        <v>19</v>
      </c>
      <c r="E42" s="5" t="s">
        <v>529</v>
      </c>
      <c r="F42" s="5">
        <v>2023</v>
      </c>
      <c r="G42" s="5" t="s">
        <v>530</v>
      </c>
      <c r="H42" s="5" t="s">
        <v>531</v>
      </c>
      <c r="I42" s="5" t="s">
        <v>532</v>
      </c>
      <c r="J42" s="5" t="s">
        <v>533</v>
      </c>
      <c r="K42" s="5" t="s">
        <v>534</v>
      </c>
      <c r="L42" s="5" t="s">
        <v>535</v>
      </c>
      <c r="M42" s="5" t="s">
        <v>536</v>
      </c>
      <c r="N42" s="5" t="s">
        <v>537</v>
      </c>
      <c r="O42" s="5" t="s">
        <v>538</v>
      </c>
      <c r="P42" s="5" t="s">
        <v>68</v>
      </c>
    </row>
    <row r="43" ht="128" customHeight="1" spans="1:16">
      <c r="A43" s="5" t="s">
        <v>539</v>
      </c>
      <c r="B43" s="5" t="s">
        <v>540</v>
      </c>
      <c r="C43" s="5" t="s">
        <v>46</v>
      </c>
      <c r="D43" s="5" t="s">
        <v>19</v>
      </c>
      <c r="E43" s="5" t="s">
        <v>541</v>
      </c>
      <c r="F43" s="5">
        <v>2023</v>
      </c>
      <c r="G43" s="5" t="s">
        <v>542</v>
      </c>
      <c r="H43" s="5" t="s">
        <v>543</v>
      </c>
      <c r="I43" s="5" t="s">
        <v>544</v>
      </c>
      <c r="J43" s="5" t="s">
        <v>545</v>
      </c>
      <c r="K43" s="5" t="s">
        <v>546</v>
      </c>
      <c r="L43" s="5" t="s">
        <v>547</v>
      </c>
      <c r="M43" s="5" t="s">
        <v>548</v>
      </c>
      <c r="N43" s="5" t="s">
        <v>549</v>
      </c>
      <c r="O43" s="5" t="s">
        <v>550</v>
      </c>
      <c r="P43" s="5" t="s">
        <v>68</v>
      </c>
    </row>
    <row r="44" ht="128" customHeight="1" spans="1:16">
      <c r="A44" s="5" t="s">
        <v>551</v>
      </c>
      <c r="B44" s="5" t="s">
        <v>552</v>
      </c>
      <c r="C44" s="5" t="s">
        <v>553</v>
      </c>
      <c r="D44" s="5" t="s">
        <v>19</v>
      </c>
      <c r="E44" s="5" t="s">
        <v>554</v>
      </c>
      <c r="F44" s="5">
        <v>2024</v>
      </c>
      <c r="G44" s="5" t="s">
        <v>555</v>
      </c>
      <c r="H44" s="5" t="s">
        <v>556</v>
      </c>
      <c r="I44" s="5" t="s">
        <v>557</v>
      </c>
      <c r="J44" s="5" t="s">
        <v>558</v>
      </c>
      <c r="K44" s="5" t="s">
        <v>559</v>
      </c>
      <c r="L44" s="5" t="s">
        <v>560</v>
      </c>
      <c r="M44" s="5" t="s">
        <v>561</v>
      </c>
      <c r="N44" s="5" t="s">
        <v>562</v>
      </c>
      <c r="O44" s="5" t="s">
        <v>563</v>
      </c>
      <c r="P44" s="5" t="s">
        <v>564</v>
      </c>
    </row>
    <row r="45" ht="128" customHeight="1" spans="1:16">
      <c r="A45" s="5" t="s">
        <v>565</v>
      </c>
      <c r="B45" s="5" t="s">
        <v>566</v>
      </c>
      <c r="C45" s="5" t="s">
        <v>18</v>
      </c>
      <c r="D45" s="5" t="s">
        <v>19</v>
      </c>
      <c r="E45" s="5" t="s">
        <v>567</v>
      </c>
      <c r="F45" s="5">
        <v>2024</v>
      </c>
      <c r="G45" s="5" t="s">
        <v>568</v>
      </c>
      <c r="H45" s="11" t="s">
        <v>569</v>
      </c>
      <c r="I45" s="5" t="s">
        <v>570</v>
      </c>
      <c r="J45" s="5" t="s">
        <v>571</v>
      </c>
      <c r="K45" s="5" t="s">
        <v>572</v>
      </c>
      <c r="L45" s="5" t="s">
        <v>573</v>
      </c>
      <c r="M45" s="5" t="s">
        <v>574</v>
      </c>
      <c r="N45" s="5" t="s">
        <v>575</v>
      </c>
      <c r="O45" s="5" t="s">
        <v>576</v>
      </c>
      <c r="P45" s="5" t="s">
        <v>68</v>
      </c>
    </row>
    <row r="46" ht="128" customHeight="1" spans="1:16">
      <c r="A46" s="5" t="s">
        <v>577</v>
      </c>
      <c r="B46" s="5" t="s">
        <v>578</v>
      </c>
      <c r="C46" s="5" t="s">
        <v>18</v>
      </c>
      <c r="D46" s="5" t="s">
        <v>19</v>
      </c>
      <c r="E46" s="5" t="s">
        <v>579</v>
      </c>
      <c r="F46" s="5">
        <v>2024</v>
      </c>
      <c r="G46" s="5" t="s">
        <v>580</v>
      </c>
      <c r="H46" s="5" t="s">
        <v>581</v>
      </c>
      <c r="I46" s="5" t="s">
        <v>582</v>
      </c>
      <c r="J46" s="5" t="s">
        <v>583</v>
      </c>
      <c r="K46" s="5" t="s">
        <v>584</v>
      </c>
      <c r="L46" s="5" t="s">
        <v>585</v>
      </c>
      <c r="M46" s="5" t="s">
        <v>586</v>
      </c>
      <c r="N46" s="5" t="s">
        <v>587</v>
      </c>
      <c r="O46" s="5" t="s">
        <v>588</v>
      </c>
      <c r="P46" s="5" t="s">
        <v>589</v>
      </c>
    </row>
    <row r="47" ht="128" customHeight="1" spans="1:16">
      <c r="A47" s="3" t="s">
        <v>590</v>
      </c>
      <c r="B47" s="3" t="s">
        <v>591</v>
      </c>
      <c r="C47" s="3" t="s">
        <v>18</v>
      </c>
      <c r="D47" s="3" t="s">
        <v>19</v>
      </c>
      <c r="E47" s="3" t="s">
        <v>592</v>
      </c>
      <c r="F47" s="3">
        <v>2024</v>
      </c>
      <c r="G47" s="3" t="s">
        <v>593</v>
      </c>
      <c r="H47" s="12" t="s">
        <v>594</v>
      </c>
      <c r="I47" s="3" t="s">
        <v>595</v>
      </c>
      <c r="J47" s="3" t="s">
        <v>596</v>
      </c>
      <c r="K47" s="3" t="s">
        <v>597</v>
      </c>
      <c r="L47" s="3" t="s">
        <v>598</v>
      </c>
      <c r="M47" s="3" t="s">
        <v>599</v>
      </c>
      <c r="N47" s="3" t="s">
        <v>600</v>
      </c>
      <c r="O47" s="3" t="s">
        <v>601</v>
      </c>
      <c r="P47" s="3" t="s">
        <v>602</v>
      </c>
    </row>
    <row r="48" ht="128" customHeight="1" spans="1:16">
      <c r="A48" s="3" t="s">
        <v>603</v>
      </c>
      <c r="B48" s="3" t="s">
        <v>604</v>
      </c>
      <c r="C48" s="3" t="s">
        <v>46</v>
      </c>
      <c r="D48" s="3" t="s">
        <v>19</v>
      </c>
      <c r="E48" s="3" t="s">
        <v>605</v>
      </c>
      <c r="F48" s="3">
        <v>2024</v>
      </c>
      <c r="G48" s="3" t="s">
        <v>606</v>
      </c>
      <c r="H48" s="12" t="s">
        <v>607</v>
      </c>
      <c r="I48" s="3" t="s">
        <v>608</v>
      </c>
      <c r="J48" s="3" t="s">
        <v>609</v>
      </c>
      <c r="K48" s="3" t="s">
        <v>610</v>
      </c>
      <c r="L48" s="3" t="s">
        <v>611</v>
      </c>
      <c r="M48" s="3" t="s">
        <v>612</v>
      </c>
      <c r="N48" s="3" t="s">
        <v>613</v>
      </c>
      <c r="O48" s="3" t="s">
        <v>614</v>
      </c>
      <c r="P48" s="3" t="s">
        <v>615</v>
      </c>
    </row>
    <row r="49" ht="128" customHeight="1" spans="1:16">
      <c r="A49" s="3" t="s">
        <v>616</v>
      </c>
      <c r="B49" s="3" t="s">
        <v>617</v>
      </c>
      <c r="C49" s="3" t="s">
        <v>18</v>
      </c>
      <c r="D49" s="3" t="s">
        <v>19</v>
      </c>
      <c r="E49" s="3" t="s">
        <v>618</v>
      </c>
      <c r="F49" s="3">
        <v>2026</v>
      </c>
      <c r="G49" s="3" t="s">
        <v>619</v>
      </c>
      <c r="H49" s="3" t="s">
        <v>620</v>
      </c>
      <c r="I49" s="3" t="s">
        <v>621</v>
      </c>
      <c r="J49" s="3" t="s">
        <v>622</v>
      </c>
      <c r="K49" s="3" t="s">
        <v>623</v>
      </c>
      <c r="L49" s="3" t="s">
        <v>624</v>
      </c>
      <c r="M49" s="3" t="s">
        <v>625</v>
      </c>
      <c r="N49" s="3" t="s">
        <v>626</v>
      </c>
      <c r="O49" s="3" t="s">
        <v>627</v>
      </c>
      <c r="P49" s="3" t="s">
        <v>628</v>
      </c>
    </row>
    <row r="50" ht="128" customHeight="1" spans="1:16">
      <c r="A50" s="3" t="s">
        <v>629</v>
      </c>
      <c r="B50" s="3" t="s">
        <v>630</v>
      </c>
      <c r="C50" s="3" t="s">
        <v>200</v>
      </c>
      <c r="D50" s="3" t="s">
        <v>19</v>
      </c>
      <c r="E50" s="3" t="s">
        <v>631</v>
      </c>
      <c r="F50" s="3">
        <v>2017</v>
      </c>
      <c r="G50" s="3" t="s">
        <v>632</v>
      </c>
      <c r="H50" s="3" t="s">
        <v>633</v>
      </c>
      <c r="I50" s="3" t="s">
        <v>634</v>
      </c>
      <c r="J50" s="3" t="s">
        <v>635</v>
      </c>
      <c r="K50" s="3" t="s">
        <v>636</v>
      </c>
      <c r="L50" s="3" t="s">
        <v>637</v>
      </c>
      <c r="M50" s="3" t="s">
        <v>638</v>
      </c>
      <c r="N50" s="3" t="s">
        <v>639</v>
      </c>
      <c r="O50" s="3" t="s">
        <v>640</v>
      </c>
      <c r="P50" s="3" t="s">
        <v>641</v>
      </c>
    </row>
    <row r="51" ht="128" customHeight="1" spans="1:16">
      <c r="A51" s="5" t="s">
        <v>642</v>
      </c>
      <c r="B51" s="5" t="s">
        <v>643</v>
      </c>
      <c r="C51" s="5" t="s">
        <v>200</v>
      </c>
      <c r="D51" s="5" t="s">
        <v>19</v>
      </c>
      <c r="E51" s="5" t="s">
        <v>644</v>
      </c>
      <c r="F51" s="5">
        <v>2016</v>
      </c>
      <c r="G51" s="5" t="s">
        <v>645</v>
      </c>
      <c r="H51" s="5" t="s">
        <v>646</v>
      </c>
      <c r="I51" s="5" t="s">
        <v>647</v>
      </c>
      <c r="J51" s="5" t="s">
        <v>648</v>
      </c>
      <c r="K51" s="5" t="s">
        <v>649</v>
      </c>
      <c r="L51" s="5" t="s">
        <v>650</v>
      </c>
      <c r="M51" s="5" t="s">
        <v>651</v>
      </c>
      <c r="N51" s="5" t="s">
        <v>652</v>
      </c>
      <c r="O51" s="5" t="s">
        <v>653</v>
      </c>
      <c r="P51" s="5" t="s">
        <v>654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7717A"/>
  </sheetPr>
  <dimension ref="A1:R56"/>
  <sheetViews>
    <sheetView showGridLines="0" workbookViewId="0">
      <pane xSplit="2" ySplit="6" topLeftCell="C41" activePane="bottomRight" state="frozen"/>
      <selection/>
      <selection pane="topRight"/>
      <selection pane="bottomLeft"/>
      <selection pane="bottomRight" activeCell="J7" sqref="J7"/>
    </sheetView>
  </sheetViews>
  <sheetFormatPr defaultColWidth="9" defaultRowHeight="16.8"/>
  <cols>
    <col min="1" max="1" width="10" customWidth="1"/>
    <col min="2" max="2" width="18" customWidth="1"/>
    <col min="3" max="3" width="10" customWidth="1"/>
    <col min="4" max="4" width="24" customWidth="1"/>
    <col min="5" max="5" width="26" customWidth="1"/>
    <col min="6" max="6" width="12" customWidth="1"/>
    <col min="7" max="7" width="15" customWidth="1"/>
    <col min="8" max="8" width="16" customWidth="1"/>
    <col min="9" max="9" width="15" customWidth="1"/>
    <col min="10" max="10" width="12" customWidth="1"/>
    <col min="11" max="12" width="14" customWidth="1"/>
    <col min="13" max="13" width="16" customWidth="1"/>
    <col min="14" max="15" width="18" customWidth="1"/>
    <col min="16" max="16" width="16" customWidth="1"/>
    <col min="17" max="17" width="66" customWidth="1"/>
    <col min="18" max="18" width="50" customWidth="1"/>
  </cols>
  <sheetData>
    <row r="1" ht="32" customHeight="1" spans="1:18">
      <c r="A1" s="1" t="s">
        <v>655</v>
      </c>
      <c r="B1" s="1"/>
      <c r="C1" s="1"/>
      <c r="D1" s="1"/>
      <c r="E1" s="1"/>
      <c r="F1" s="1"/>
      <c r="G1" s="1"/>
      <c r="H1" s="1"/>
      <c r="I1" s="1"/>
      <c r="J1" s="1"/>
      <c r="K1" s="1"/>
      <c r="L1" s="1"/>
      <c r="M1" s="1"/>
      <c r="N1" s="1"/>
      <c r="O1" s="1"/>
      <c r="P1" s="1"/>
      <c r="Q1" s="1"/>
      <c r="R1" s="1"/>
    </row>
    <row r="2" ht="32" customHeight="1" spans="1:18">
      <c r="A2" s="7" t="s">
        <v>656</v>
      </c>
      <c r="B2" s="7">
        <v>500</v>
      </c>
      <c r="C2" s="7" t="s">
        <v>657</v>
      </c>
      <c r="D2" s="1" t="s">
        <v>658</v>
      </c>
      <c r="E2" s="1"/>
      <c r="F2" s="1"/>
      <c r="G2" s="1"/>
      <c r="H2" s="1"/>
      <c r="I2" s="1"/>
      <c r="J2" s="1"/>
      <c r="K2" s="1"/>
      <c r="L2" s="1"/>
      <c r="M2" s="1"/>
      <c r="N2" s="1"/>
      <c r="O2" s="1"/>
      <c r="P2" s="1"/>
      <c r="Q2" s="1"/>
      <c r="R2" s="1"/>
    </row>
    <row r="6" ht="36" customHeight="1" spans="1:18">
      <c r="A6" s="2" t="s">
        <v>659</v>
      </c>
      <c r="B6" s="2" t="s">
        <v>660</v>
      </c>
      <c r="C6" s="2" t="s">
        <v>661</v>
      </c>
      <c r="D6" s="2" t="s">
        <v>662</v>
      </c>
      <c r="E6" s="2" t="s">
        <v>663</v>
      </c>
      <c r="F6" s="2" t="s">
        <v>664</v>
      </c>
      <c r="G6" s="2" t="s">
        <v>665</v>
      </c>
      <c r="H6" s="2" t="s">
        <v>666</v>
      </c>
      <c r="I6" s="2" t="s">
        <v>667</v>
      </c>
      <c r="J6" s="2" t="s">
        <v>668</v>
      </c>
      <c r="K6" s="2" t="s">
        <v>669</v>
      </c>
      <c r="L6" s="2" t="s">
        <v>670</v>
      </c>
      <c r="M6" s="2" t="s">
        <v>671</v>
      </c>
      <c r="N6" s="2" t="s">
        <v>672</v>
      </c>
      <c r="O6" s="2" t="s">
        <v>673</v>
      </c>
      <c r="P6" s="2" t="s">
        <v>674</v>
      </c>
      <c r="Q6" s="2" t="s">
        <v>675</v>
      </c>
      <c r="R6" s="2" t="s">
        <v>676</v>
      </c>
    </row>
    <row r="7" ht="105" customHeight="1" spans="1:18">
      <c r="A7" s="3" t="s">
        <v>677</v>
      </c>
      <c r="B7" s="3" t="s">
        <v>312</v>
      </c>
      <c r="C7" s="3">
        <v>2019</v>
      </c>
      <c r="D7" s="3" t="s">
        <v>678</v>
      </c>
      <c r="E7" s="3" t="s">
        <v>679</v>
      </c>
      <c r="F7" s="3" t="s">
        <v>680</v>
      </c>
      <c r="G7" s="4">
        <v>3.75</v>
      </c>
      <c r="H7" s="4">
        <v>2116.5</v>
      </c>
      <c r="I7" s="4"/>
      <c r="J7" s="8">
        <v>1</v>
      </c>
      <c r="K7" s="4">
        <f>IF(ISNUMBER(I7),I7,IF(AND(ISNUMBER(G7),ISNUMBER(H7)),H7/G7,NA()))*J7</f>
        <v>564.4</v>
      </c>
      <c r="L7" s="8">
        <f>K7-1</f>
        <v>563.4</v>
      </c>
      <c r="M7" s="4">
        <f>$B$2</f>
        <v>500</v>
      </c>
      <c r="N7" s="4">
        <f>M7*K7</f>
        <v>282200</v>
      </c>
      <c r="O7" s="4">
        <f>N7-M7</f>
        <v>281700</v>
      </c>
      <c r="P7" s="3" t="s">
        <v>681</v>
      </c>
      <c r="Q7" s="3" t="s">
        <v>682</v>
      </c>
      <c r="R7" s="3" t="s">
        <v>683</v>
      </c>
    </row>
    <row r="8" ht="105" customHeight="1" spans="1:18">
      <c r="A8" s="3" t="s">
        <v>684</v>
      </c>
      <c r="B8" s="3" t="s">
        <v>389</v>
      </c>
      <c r="C8" s="3">
        <v>2020</v>
      </c>
      <c r="D8" s="3" t="s">
        <v>685</v>
      </c>
      <c r="E8" s="3" t="s">
        <v>686</v>
      </c>
      <c r="F8" s="3" t="s">
        <v>680</v>
      </c>
      <c r="G8" s="4">
        <v>4.8</v>
      </c>
      <c r="H8" s="4">
        <v>1748.04</v>
      </c>
      <c r="I8" s="4"/>
      <c r="J8" s="8">
        <v>1</v>
      </c>
      <c r="K8" s="4">
        <f>IF(ISNUMBER(I8),I8,IF(AND(ISNUMBER(G8),ISNUMBER(H8)),H8/G8,NA()))*J8</f>
        <v>364.175</v>
      </c>
      <c r="L8" s="8">
        <f>K8-1</f>
        <v>363.175</v>
      </c>
      <c r="M8" s="4">
        <f>$B$2</f>
        <v>500</v>
      </c>
      <c r="N8" s="4">
        <f>M8*K8</f>
        <v>182087.5</v>
      </c>
      <c r="O8" s="4">
        <f>N8-M8</f>
        <v>181587.5</v>
      </c>
      <c r="P8" s="3" t="s">
        <v>681</v>
      </c>
      <c r="Q8" s="3" t="s">
        <v>687</v>
      </c>
      <c r="R8" s="3" t="s">
        <v>688</v>
      </c>
    </row>
    <row r="9" ht="105" customHeight="1" spans="1:18">
      <c r="A9" s="3" t="s">
        <v>689</v>
      </c>
      <c r="B9" s="3" t="s">
        <v>160</v>
      </c>
      <c r="C9" s="3">
        <v>2016</v>
      </c>
      <c r="D9" s="3" t="s">
        <v>690</v>
      </c>
      <c r="E9" s="3" t="s">
        <v>691</v>
      </c>
      <c r="F9" s="3" t="s">
        <v>680</v>
      </c>
      <c r="G9" s="4"/>
      <c r="H9" s="4"/>
      <c r="I9" s="4">
        <v>280</v>
      </c>
      <c r="J9" s="8">
        <v>1</v>
      </c>
      <c r="K9" s="4">
        <f>IF(ISNUMBER(I9),I9,IF(AND(ISNUMBER(G9),ISNUMBER(H9)),H9/G9,NA()))*J9</f>
        <v>280</v>
      </c>
      <c r="L9" s="8">
        <f>K9-1</f>
        <v>279</v>
      </c>
      <c r="M9" s="4">
        <f>$B$2</f>
        <v>500</v>
      </c>
      <c r="N9" s="4">
        <f>M9*K9</f>
        <v>140000</v>
      </c>
      <c r="O9" s="4">
        <f>N9-M9</f>
        <v>139500</v>
      </c>
      <c r="P9" s="3" t="s">
        <v>692</v>
      </c>
      <c r="Q9" s="3" t="s">
        <v>693</v>
      </c>
      <c r="R9" s="3" t="s">
        <v>694</v>
      </c>
    </row>
    <row r="10" ht="105" customHeight="1" spans="1:18">
      <c r="A10" s="3" t="s">
        <v>695</v>
      </c>
      <c r="B10" s="3" t="s">
        <v>16</v>
      </c>
      <c r="C10" s="3">
        <v>2013</v>
      </c>
      <c r="D10" s="3" t="s">
        <v>696</v>
      </c>
      <c r="E10" s="3" t="s">
        <v>697</v>
      </c>
      <c r="F10" s="3" t="s">
        <v>680</v>
      </c>
      <c r="G10" s="4">
        <v>1</v>
      </c>
      <c r="H10" s="4">
        <v>272.00714278</v>
      </c>
      <c r="I10" s="4"/>
      <c r="J10" s="8">
        <v>1</v>
      </c>
      <c r="K10" s="4">
        <f>IF(ISNUMBER(I10),I10,IF(AND(ISNUMBER(G10),ISNUMBER(H10)),H10/G10,NA()))*J10</f>
        <v>272.00714278</v>
      </c>
      <c r="L10" s="8">
        <f>K10-1</f>
        <v>271.00714278</v>
      </c>
      <c r="M10" s="4">
        <f>$B$2</f>
        <v>500</v>
      </c>
      <c r="N10" s="4">
        <f>M10*K10</f>
        <v>136003.57139</v>
      </c>
      <c r="O10" s="4">
        <f>N10-M10</f>
        <v>135503.57139</v>
      </c>
      <c r="P10" s="3" t="s">
        <v>698</v>
      </c>
      <c r="Q10" s="3" t="s">
        <v>699</v>
      </c>
      <c r="R10" s="3" t="s">
        <v>700</v>
      </c>
    </row>
    <row r="11" ht="105" customHeight="1" spans="1:18">
      <c r="A11" s="5" t="s">
        <v>701</v>
      </c>
      <c r="B11" s="5" t="s">
        <v>466</v>
      </c>
      <c r="C11" s="5">
        <v>2023</v>
      </c>
      <c r="D11" s="5" t="s">
        <v>702</v>
      </c>
      <c r="E11" s="5" t="s">
        <v>703</v>
      </c>
      <c r="F11" s="5" t="s">
        <v>680</v>
      </c>
      <c r="G11" s="6">
        <v>2.2</v>
      </c>
      <c r="H11" s="6">
        <v>500</v>
      </c>
      <c r="I11" s="9"/>
      <c r="J11" s="10">
        <v>1</v>
      </c>
      <c r="K11" s="6">
        <f t="shared" ref="K7:K56" si="0">IF(ISNUMBER(I11),I11,IF(AND(ISNUMBER(G11),ISNUMBER(H11)),H11/G11,NA()))*J11</f>
        <v>227.272727272727</v>
      </c>
      <c r="L11" s="10">
        <f t="shared" ref="L7:L56" si="1">K11-1</f>
        <v>226.272727272727</v>
      </c>
      <c r="M11" s="6">
        <f t="shared" ref="M7:M56" si="2">$B$2</f>
        <v>500</v>
      </c>
      <c r="N11" s="6">
        <f t="shared" ref="N7:N56" si="3">M11*K11</f>
        <v>113636.363636364</v>
      </c>
      <c r="O11" s="6">
        <f t="shared" ref="O7:O56" si="4">N11-M11</f>
        <v>113136.363636364</v>
      </c>
      <c r="P11" s="5" t="s">
        <v>704</v>
      </c>
      <c r="Q11" s="5" t="s">
        <v>705</v>
      </c>
      <c r="R11" s="5" t="s">
        <v>706</v>
      </c>
    </row>
    <row r="12" ht="105" customHeight="1" spans="1:18">
      <c r="A12" s="5" t="s">
        <v>707</v>
      </c>
      <c r="B12" s="5" t="s">
        <v>502</v>
      </c>
      <c r="C12" s="5">
        <v>2023</v>
      </c>
      <c r="D12" s="5" t="s">
        <v>708</v>
      </c>
      <c r="E12" s="5" t="s">
        <v>709</v>
      </c>
      <c r="F12" s="5" t="s">
        <v>710</v>
      </c>
      <c r="G12" s="6">
        <v>3</v>
      </c>
      <c r="H12" s="6">
        <v>500</v>
      </c>
      <c r="I12" s="6"/>
      <c r="J12" s="10">
        <v>1</v>
      </c>
      <c r="K12" s="6">
        <f t="shared" si="0"/>
        <v>166.666666666667</v>
      </c>
      <c r="L12" s="10">
        <f t="shared" si="1"/>
        <v>165.666666666667</v>
      </c>
      <c r="M12" s="6">
        <f t="shared" si="2"/>
        <v>500</v>
      </c>
      <c r="N12" s="6">
        <f t="shared" si="3"/>
        <v>83333.3333333333</v>
      </c>
      <c r="O12" s="6">
        <f t="shared" si="4"/>
        <v>82833.3333333333</v>
      </c>
      <c r="P12" s="5" t="s">
        <v>711</v>
      </c>
      <c r="Q12" s="5" t="s">
        <v>712</v>
      </c>
      <c r="R12" s="5" t="s">
        <v>713</v>
      </c>
    </row>
    <row r="13" ht="105" customHeight="1" spans="1:18">
      <c r="A13" s="5" t="s">
        <v>714</v>
      </c>
      <c r="B13" s="11" t="s">
        <v>539</v>
      </c>
      <c r="C13" s="5">
        <v>2023</v>
      </c>
      <c r="D13" s="5" t="s">
        <v>715</v>
      </c>
      <c r="E13" s="5" t="s">
        <v>716</v>
      </c>
      <c r="F13" s="3" t="s">
        <v>680</v>
      </c>
      <c r="G13" s="6">
        <v>1</v>
      </c>
      <c r="H13" s="6">
        <v>130</v>
      </c>
      <c r="I13" s="6"/>
      <c r="J13" s="10">
        <v>1</v>
      </c>
      <c r="K13" s="6">
        <f t="shared" si="0"/>
        <v>130</v>
      </c>
      <c r="L13" s="10">
        <f t="shared" si="1"/>
        <v>129</v>
      </c>
      <c r="M13" s="6">
        <f t="shared" si="2"/>
        <v>500</v>
      </c>
      <c r="N13" s="6">
        <f t="shared" si="3"/>
        <v>65000</v>
      </c>
      <c r="O13" s="6">
        <f t="shared" si="4"/>
        <v>64500</v>
      </c>
      <c r="P13" s="5" t="s">
        <v>717</v>
      </c>
      <c r="Q13" s="5" t="s">
        <v>718</v>
      </c>
      <c r="R13" s="5" t="s">
        <v>719</v>
      </c>
    </row>
    <row r="14" ht="105" customHeight="1" spans="1:18">
      <c r="A14" s="3" t="s">
        <v>720</v>
      </c>
      <c r="B14" s="12" t="s">
        <v>69</v>
      </c>
      <c r="C14" s="3">
        <v>2015</v>
      </c>
      <c r="D14" s="3" t="s">
        <v>702</v>
      </c>
      <c r="E14" s="3" t="s">
        <v>721</v>
      </c>
      <c r="F14" s="3" t="s">
        <v>680</v>
      </c>
      <c r="G14" s="4">
        <v>1</v>
      </c>
      <c r="H14" s="4">
        <v>111.35738</v>
      </c>
      <c r="I14" s="4"/>
      <c r="J14" s="8">
        <v>1</v>
      </c>
      <c r="K14" s="4">
        <f t="shared" si="0"/>
        <v>111.35738</v>
      </c>
      <c r="L14" s="8">
        <f t="shared" si="1"/>
        <v>110.35738</v>
      </c>
      <c r="M14" s="4">
        <f t="shared" si="2"/>
        <v>500</v>
      </c>
      <c r="N14" s="4">
        <f t="shared" si="3"/>
        <v>55678.69</v>
      </c>
      <c r="O14" s="4">
        <f t="shared" si="4"/>
        <v>55178.69</v>
      </c>
      <c r="P14" s="3" t="s">
        <v>681</v>
      </c>
      <c r="Q14" s="3" t="s">
        <v>722</v>
      </c>
      <c r="R14" s="3" t="s">
        <v>723</v>
      </c>
    </row>
    <row r="15" ht="105" customHeight="1" spans="1:18">
      <c r="A15" s="3" t="s">
        <v>724</v>
      </c>
      <c r="B15" s="12" t="s">
        <v>250</v>
      </c>
      <c r="C15" s="3">
        <v>2016</v>
      </c>
      <c r="D15" s="3" t="s">
        <v>702</v>
      </c>
      <c r="E15" s="3" t="s">
        <v>725</v>
      </c>
      <c r="F15" s="3" t="s">
        <v>680</v>
      </c>
      <c r="G15" s="4">
        <v>2</v>
      </c>
      <c r="H15" s="4">
        <v>207</v>
      </c>
      <c r="I15" s="4"/>
      <c r="J15" s="8">
        <v>1</v>
      </c>
      <c r="K15" s="4">
        <f t="shared" si="0"/>
        <v>103.5</v>
      </c>
      <c r="L15" s="8">
        <f t="shared" si="1"/>
        <v>102.5</v>
      </c>
      <c r="M15" s="4">
        <f t="shared" si="2"/>
        <v>500</v>
      </c>
      <c r="N15" s="4">
        <f t="shared" si="3"/>
        <v>51750</v>
      </c>
      <c r="O15" s="4">
        <f t="shared" si="4"/>
        <v>51250</v>
      </c>
      <c r="P15" s="3" t="s">
        <v>681</v>
      </c>
      <c r="Q15" s="3" t="s">
        <v>726</v>
      </c>
      <c r="R15" s="3" t="s">
        <v>727</v>
      </c>
    </row>
    <row r="16" ht="105" customHeight="1" spans="1:18">
      <c r="A16" s="3" t="s">
        <v>728</v>
      </c>
      <c r="B16" s="3" t="s">
        <v>402</v>
      </c>
      <c r="C16" s="3">
        <v>2020</v>
      </c>
      <c r="D16" s="3" t="s">
        <v>729</v>
      </c>
      <c r="E16" s="3" t="s">
        <v>686</v>
      </c>
      <c r="F16" s="3" t="s">
        <v>680</v>
      </c>
      <c r="G16" s="4">
        <v>16.46</v>
      </c>
      <c r="H16" s="4">
        <v>1668.6</v>
      </c>
      <c r="I16" s="4"/>
      <c r="J16" s="8">
        <v>1</v>
      </c>
      <c r="K16" s="4">
        <f t="shared" si="0"/>
        <v>101.373025516403</v>
      </c>
      <c r="L16" s="8">
        <f t="shared" si="1"/>
        <v>100.373025516403</v>
      </c>
      <c r="M16" s="4">
        <f t="shared" si="2"/>
        <v>500</v>
      </c>
      <c r="N16" s="4">
        <f t="shared" si="3"/>
        <v>50686.5127582017</v>
      </c>
      <c r="O16" s="4">
        <f t="shared" si="4"/>
        <v>50186.5127582017</v>
      </c>
      <c r="P16" s="3" t="s">
        <v>681</v>
      </c>
      <c r="Q16" s="3" t="s">
        <v>730</v>
      </c>
      <c r="R16" s="3" t="s">
        <v>731</v>
      </c>
    </row>
    <row r="17" ht="105" customHeight="1" spans="1:18">
      <c r="A17" s="3" t="s">
        <v>732</v>
      </c>
      <c r="B17" s="12" t="s">
        <v>198</v>
      </c>
      <c r="C17" s="3">
        <v>2016</v>
      </c>
      <c r="D17" s="3" t="s">
        <v>733</v>
      </c>
      <c r="E17" s="3" t="s">
        <v>734</v>
      </c>
      <c r="F17" s="3" t="s">
        <v>680</v>
      </c>
      <c r="G17" s="4">
        <v>1</v>
      </c>
      <c r="H17" s="4">
        <v>100</v>
      </c>
      <c r="I17" s="4"/>
      <c r="J17" s="8">
        <v>1</v>
      </c>
      <c r="K17" s="4">
        <f t="shared" si="0"/>
        <v>100</v>
      </c>
      <c r="L17" s="8">
        <f t="shared" si="1"/>
        <v>99</v>
      </c>
      <c r="M17" s="4">
        <f t="shared" si="2"/>
        <v>500</v>
      </c>
      <c r="N17" s="4">
        <f t="shared" si="3"/>
        <v>50000</v>
      </c>
      <c r="O17" s="4">
        <f t="shared" si="4"/>
        <v>49500</v>
      </c>
      <c r="P17" s="3" t="s">
        <v>692</v>
      </c>
      <c r="Q17" s="3" t="s">
        <v>735</v>
      </c>
      <c r="R17" s="3" t="s">
        <v>736</v>
      </c>
    </row>
    <row r="18" ht="105" customHeight="1" spans="1:18">
      <c r="A18" s="3" t="s">
        <v>737</v>
      </c>
      <c r="B18" s="3" t="s">
        <v>415</v>
      </c>
      <c r="C18" s="3">
        <v>2021</v>
      </c>
      <c r="D18" s="3" t="s">
        <v>738</v>
      </c>
      <c r="E18" s="3" t="s">
        <v>739</v>
      </c>
      <c r="F18" s="3" t="s">
        <v>680</v>
      </c>
      <c r="G18" s="4">
        <v>1</v>
      </c>
      <c r="H18" s="4">
        <v>100</v>
      </c>
      <c r="I18" s="4"/>
      <c r="J18" s="8">
        <v>1</v>
      </c>
      <c r="K18" s="4">
        <f t="shared" si="0"/>
        <v>100</v>
      </c>
      <c r="L18" s="8">
        <f t="shared" si="1"/>
        <v>99</v>
      </c>
      <c r="M18" s="4">
        <f t="shared" si="2"/>
        <v>500</v>
      </c>
      <c r="N18" s="4">
        <f t="shared" si="3"/>
        <v>50000</v>
      </c>
      <c r="O18" s="4">
        <f t="shared" si="4"/>
        <v>49500</v>
      </c>
      <c r="P18" s="3" t="s">
        <v>740</v>
      </c>
      <c r="Q18" s="3" t="s">
        <v>741</v>
      </c>
      <c r="R18" s="3" t="s">
        <v>742</v>
      </c>
    </row>
    <row r="19" ht="105" customHeight="1" spans="1:18">
      <c r="A19" s="3" t="s">
        <v>743</v>
      </c>
      <c r="B19" s="3" t="s">
        <v>478</v>
      </c>
      <c r="C19" s="3">
        <v>2023</v>
      </c>
      <c r="D19" s="3" t="s">
        <v>744</v>
      </c>
      <c r="E19" s="3" t="s">
        <v>745</v>
      </c>
      <c r="F19" s="3" t="s">
        <v>680</v>
      </c>
      <c r="G19" s="4">
        <v>1</v>
      </c>
      <c r="H19" s="4">
        <v>100</v>
      </c>
      <c r="I19" s="4"/>
      <c r="J19" s="8">
        <v>1</v>
      </c>
      <c r="K19" s="4">
        <f t="shared" si="0"/>
        <v>100</v>
      </c>
      <c r="L19" s="8">
        <f t="shared" si="1"/>
        <v>99</v>
      </c>
      <c r="M19" s="4">
        <f t="shared" si="2"/>
        <v>500</v>
      </c>
      <c r="N19" s="4">
        <f t="shared" si="3"/>
        <v>50000</v>
      </c>
      <c r="O19" s="4">
        <f t="shared" si="4"/>
        <v>49500</v>
      </c>
      <c r="P19" s="3" t="s">
        <v>746</v>
      </c>
      <c r="Q19" s="3" t="s">
        <v>747</v>
      </c>
      <c r="R19" s="3" t="s">
        <v>748</v>
      </c>
    </row>
    <row r="20" ht="105" customHeight="1" spans="1:18">
      <c r="A20" s="5" t="s">
        <v>749</v>
      </c>
      <c r="B20" s="5" t="s">
        <v>577</v>
      </c>
      <c r="C20" s="5">
        <v>2024</v>
      </c>
      <c r="D20" s="5" t="s">
        <v>750</v>
      </c>
      <c r="E20" s="5" t="s">
        <v>751</v>
      </c>
      <c r="F20" s="5" t="s">
        <v>680</v>
      </c>
      <c r="G20" s="6">
        <v>1</v>
      </c>
      <c r="H20" s="6">
        <v>100</v>
      </c>
      <c r="I20" s="6"/>
      <c r="J20" s="10">
        <v>1</v>
      </c>
      <c r="K20" s="6">
        <f t="shared" si="0"/>
        <v>100</v>
      </c>
      <c r="L20" s="10">
        <f t="shared" si="1"/>
        <v>99</v>
      </c>
      <c r="M20" s="6">
        <f t="shared" si="2"/>
        <v>500</v>
      </c>
      <c r="N20" s="6">
        <f t="shared" si="3"/>
        <v>50000</v>
      </c>
      <c r="O20" s="6">
        <f t="shared" si="4"/>
        <v>49500</v>
      </c>
      <c r="P20" s="5" t="s">
        <v>752</v>
      </c>
      <c r="Q20" s="5" t="s">
        <v>753</v>
      </c>
      <c r="R20" s="5" t="s">
        <v>754</v>
      </c>
    </row>
    <row r="21" ht="105" customHeight="1" spans="1:18">
      <c r="A21" s="5" t="s">
        <v>755</v>
      </c>
      <c r="B21" s="11" t="s">
        <v>263</v>
      </c>
      <c r="C21" s="5">
        <v>2017</v>
      </c>
      <c r="D21" s="5" t="s">
        <v>756</v>
      </c>
      <c r="E21" s="5" t="s">
        <v>757</v>
      </c>
      <c r="F21" s="5" t="s">
        <v>680</v>
      </c>
      <c r="G21" s="6">
        <v>66.3</v>
      </c>
      <c r="H21" s="6">
        <v>5641.89</v>
      </c>
      <c r="I21" s="6"/>
      <c r="J21" s="10">
        <v>1</v>
      </c>
      <c r="K21" s="6">
        <f t="shared" si="0"/>
        <v>85.0963800904977</v>
      </c>
      <c r="L21" s="10">
        <f t="shared" si="1"/>
        <v>84.0963800904977</v>
      </c>
      <c r="M21" s="6">
        <f t="shared" si="2"/>
        <v>500</v>
      </c>
      <c r="N21" s="6">
        <f t="shared" si="3"/>
        <v>42548.1900452489</v>
      </c>
      <c r="O21" s="6">
        <f t="shared" si="4"/>
        <v>42048.1900452489</v>
      </c>
      <c r="P21" s="5" t="s">
        <v>681</v>
      </c>
      <c r="Q21" s="5" t="s">
        <v>758</v>
      </c>
      <c r="R21" s="5" t="s">
        <v>759</v>
      </c>
    </row>
    <row r="22" ht="105" customHeight="1" spans="1:18">
      <c r="A22" s="5" t="s">
        <v>760</v>
      </c>
      <c r="B22" s="5" t="s">
        <v>551</v>
      </c>
      <c r="C22" s="5">
        <v>2024</v>
      </c>
      <c r="D22" s="5" t="s">
        <v>733</v>
      </c>
      <c r="E22" s="5" t="s">
        <v>734</v>
      </c>
      <c r="F22" s="5" t="s">
        <v>680</v>
      </c>
      <c r="G22" s="6"/>
      <c r="H22" s="6"/>
      <c r="I22" s="6">
        <v>80</v>
      </c>
      <c r="J22" s="10">
        <v>1</v>
      </c>
      <c r="K22" s="6">
        <f t="shared" si="0"/>
        <v>80</v>
      </c>
      <c r="L22" s="10">
        <f t="shared" si="1"/>
        <v>79</v>
      </c>
      <c r="M22" s="6">
        <f t="shared" si="2"/>
        <v>500</v>
      </c>
      <c r="N22" s="6">
        <f t="shared" si="3"/>
        <v>40000</v>
      </c>
      <c r="O22" s="6">
        <f t="shared" si="4"/>
        <v>39500</v>
      </c>
      <c r="P22" s="5" t="s">
        <v>692</v>
      </c>
      <c r="Q22" s="5" t="s">
        <v>761</v>
      </c>
      <c r="R22" s="5" t="s">
        <v>736</v>
      </c>
    </row>
    <row r="23" ht="105" customHeight="1" spans="1:18">
      <c r="A23" s="3" t="s">
        <v>762</v>
      </c>
      <c r="B23" s="12" t="s">
        <v>44</v>
      </c>
      <c r="C23" s="3">
        <v>2013</v>
      </c>
      <c r="D23" s="3" t="s">
        <v>763</v>
      </c>
      <c r="E23" s="3" t="s">
        <v>764</v>
      </c>
      <c r="F23" s="3" t="s">
        <v>680</v>
      </c>
      <c r="G23" s="4">
        <v>1</v>
      </c>
      <c r="H23" s="4">
        <v>69</v>
      </c>
      <c r="I23" s="4"/>
      <c r="J23" s="8">
        <v>1</v>
      </c>
      <c r="K23" s="4">
        <f t="shared" si="0"/>
        <v>69</v>
      </c>
      <c r="L23" s="8">
        <f t="shared" si="1"/>
        <v>68</v>
      </c>
      <c r="M23" s="4">
        <f t="shared" si="2"/>
        <v>500</v>
      </c>
      <c r="N23" s="4">
        <f t="shared" si="3"/>
        <v>34500</v>
      </c>
      <c r="O23" s="4">
        <f t="shared" si="4"/>
        <v>34000</v>
      </c>
      <c r="P23" s="3" t="s">
        <v>692</v>
      </c>
      <c r="Q23" s="3" t="s">
        <v>765</v>
      </c>
      <c r="R23" s="3" t="s">
        <v>766</v>
      </c>
    </row>
    <row r="24" ht="105" customHeight="1" spans="1:18">
      <c r="A24" s="3" t="s">
        <v>767</v>
      </c>
      <c r="B24" s="3" t="s">
        <v>590</v>
      </c>
      <c r="C24" s="3">
        <v>2024</v>
      </c>
      <c r="D24" s="3" t="s">
        <v>768</v>
      </c>
      <c r="E24" s="3" t="s">
        <v>691</v>
      </c>
      <c r="F24" s="3" t="s">
        <v>680</v>
      </c>
      <c r="G24" s="4"/>
      <c r="H24" s="4"/>
      <c r="I24" s="4">
        <v>60</v>
      </c>
      <c r="J24" s="8">
        <v>1</v>
      </c>
      <c r="K24" s="4">
        <f t="shared" si="0"/>
        <v>60</v>
      </c>
      <c r="L24" s="8">
        <f t="shared" si="1"/>
        <v>59</v>
      </c>
      <c r="M24" s="4">
        <f t="shared" si="2"/>
        <v>500</v>
      </c>
      <c r="N24" s="4">
        <f t="shared" si="3"/>
        <v>30000</v>
      </c>
      <c r="O24" s="4">
        <f t="shared" si="4"/>
        <v>29500</v>
      </c>
      <c r="P24" s="3" t="s">
        <v>692</v>
      </c>
      <c r="Q24" s="3" t="s">
        <v>769</v>
      </c>
      <c r="R24" s="3" t="s">
        <v>694</v>
      </c>
    </row>
    <row r="25" ht="105" customHeight="1" spans="1:18">
      <c r="A25" s="5" t="s">
        <v>770</v>
      </c>
      <c r="B25" s="11" t="s">
        <v>300</v>
      </c>
      <c r="C25" s="5">
        <v>2018</v>
      </c>
      <c r="D25" s="5" t="s">
        <v>771</v>
      </c>
      <c r="E25" s="5" t="s">
        <v>772</v>
      </c>
      <c r="F25" s="5" t="s">
        <v>680</v>
      </c>
      <c r="G25" s="6">
        <v>2</v>
      </c>
      <c r="H25" s="6">
        <v>110</v>
      </c>
      <c r="I25" s="6"/>
      <c r="J25" s="10">
        <v>1</v>
      </c>
      <c r="K25" s="6">
        <f t="shared" si="0"/>
        <v>55</v>
      </c>
      <c r="L25" s="10">
        <f t="shared" si="1"/>
        <v>54</v>
      </c>
      <c r="M25" s="6">
        <f t="shared" si="2"/>
        <v>500</v>
      </c>
      <c r="N25" s="6">
        <f t="shared" si="3"/>
        <v>27500</v>
      </c>
      <c r="O25" s="6">
        <f t="shared" si="4"/>
        <v>27000</v>
      </c>
      <c r="P25" s="5" t="s">
        <v>773</v>
      </c>
      <c r="Q25" s="5" t="s">
        <v>774</v>
      </c>
      <c r="R25" s="5" t="s">
        <v>775</v>
      </c>
    </row>
    <row r="26" ht="105" customHeight="1" spans="1:18">
      <c r="A26" s="5" t="s">
        <v>776</v>
      </c>
      <c r="B26" s="5" t="s">
        <v>490</v>
      </c>
      <c r="C26" s="5">
        <v>2023</v>
      </c>
      <c r="D26" s="5" t="s">
        <v>777</v>
      </c>
      <c r="E26" s="5" t="s">
        <v>778</v>
      </c>
      <c r="F26" s="5" t="s">
        <v>680</v>
      </c>
      <c r="G26" s="6">
        <v>4</v>
      </c>
      <c r="H26" s="6">
        <v>200</v>
      </c>
      <c r="I26" s="6"/>
      <c r="J26" s="10">
        <v>1</v>
      </c>
      <c r="K26" s="6">
        <f t="shared" si="0"/>
        <v>50</v>
      </c>
      <c r="L26" s="10">
        <f t="shared" si="1"/>
        <v>49</v>
      </c>
      <c r="M26" s="6">
        <f t="shared" si="2"/>
        <v>500</v>
      </c>
      <c r="N26" s="6">
        <f t="shared" si="3"/>
        <v>25000</v>
      </c>
      <c r="O26" s="6">
        <f t="shared" si="4"/>
        <v>24500</v>
      </c>
      <c r="P26" s="5" t="s">
        <v>779</v>
      </c>
      <c r="Q26" s="5" t="s">
        <v>780</v>
      </c>
      <c r="R26" s="5" t="s">
        <v>781</v>
      </c>
    </row>
    <row r="27" ht="105" customHeight="1" spans="1:18">
      <c r="A27" s="5" t="s">
        <v>782</v>
      </c>
      <c r="B27" s="5" t="s">
        <v>515</v>
      </c>
      <c r="C27" s="5">
        <v>2024</v>
      </c>
      <c r="D27" s="5" t="s">
        <v>783</v>
      </c>
      <c r="E27" s="5" t="s">
        <v>764</v>
      </c>
      <c r="F27" s="5" t="s">
        <v>680</v>
      </c>
      <c r="G27" s="6">
        <v>3</v>
      </c>
      <c r="H27" s="6">
        <v>150</v>
      </c>
      <c r="I27" s="6"/>
      <c r="J27" s="10">
        <v>1</v>
      </c>
      <c r="K27" s="6">
        <f t="shared" si="0"/>
        <v>50</v>
      </c>
      <c r="L27" s="10">
        <f t="shared" si="1"/>
        <v>49</v>
      </c>
      <c r="M27" s="6">
        <f t="shared" si="2"/>
        <v>500</v>
      </c>
      <c r="N27" s="6">
        <f t="shared" si="3"/>
        <v>25000</v>
      </c>
      <c r="O27" s="6">
        <f t="shared" si="4"/>
        <v>24500</v>
      </c>
      <c r="P27" s="5" t="s">
        <v>784</v>
      </c>
      <c r="Q27" s="5" t="s">
        <v>785</v>
      </c>
      <c r="R27" s="5" t="s">
        <v>786</v>
      </c>
    </row>
    <row r="28" ht="105" customHeight="1" spans="1:18">
      <c r="A28" s="5" t="s">
        <v>787</v>
      </c>
      <c r="B28" s="5" t="s">
        <v>81</v>
      </c>
      <c r="C28" s="5">
        <v>2015</v>
      </c>
      <c r="D28" s="5" t="s">
        <v>788</v>
      </c>
      <c r="E28" s="5" t="s">
        <v>789</v>
      </c>
      <c r="F28" s="5" t="s">
        <v>680</v>
      </c>
      <c r="G28" s="6">
        <v>1.5</v>
      </c>
      <c r="H28" s="6">
        <v>62.136442</v>
      </c>
      <c r="I28" s="6"/>
      <c r="J28" s="10">
        <v>1</v>
      </c>
      <c r="K28" s="6">
        <f t="shared" si="0"/>
        <v>41.4242946666667</v>
      </c>
      <c r="L28" s="10">
        <f t="shared" si="1"/>
        <v>40.4242946666667</v>
      </c>
      <c r="M28" s="6">
        <f t="shared" si="2"/>
        <v>500</v>
      </c>
      <c r="N28" s="6">
        <f t="shared" si="3"/>
        <v>20712.1473333333</v>
      </c>
      <c r="O28" s="6">
        <f t="shared" si="4"/>
        <v>20212.1473333333</v>
      </c>
      <c r="P28" s="5" t="s">
        <v>681</v>
      </c>
      <c r="Q28" s="5" t="s">
        <v>790</v>
      </c>
      <c r="R28" s="5" t="s">
        <v>791</v>
      </c>
    </row>
    <row r="29" ht="105" customHeight="1" spans="1:18">
      <c r="A29" s="5" t="s">
        <v>792</v>
      </c>
      <c r="B29" s="11" t="s">
        <v>148</v>
      </c>
      <c r="C29" s="5">
        <v>2015</v>
      </c>
      <c r="D29" s="5" t="s">
        <v>793</v>
      </c>
      <c r="E29" s="5" t="s">
        <v>764</v>
      </c>
      <c r="F29" s="5" t="s">
        <v>680</v>
      </c>
      <c r="G29" s="6">
        <v>1</v>
      </c>
      <c r="H29" s="6">
        <v>40</v>
      </c>
      <c r="I29" s="6"/>
      <c r="J29" s="10">
        <v>1</v>
      </c>
      <c r="K29" s="6">
        <f t="shared" si="0"/>
        <v>40</v>
      </c>
      <c r="L29" s="10">
        <f t="shared" si="1"/>
        <v>39</v>
      </c>
      <c r="M29" s="6">
        <f t="shared" si="2"/>
        <v>500</v>
      </c>
      <c r="N29" s="6">
        <f t="shared" si="3"/>
        <v>20000</v>
      </c>
      <c r="O29" s="6">
        <f t="shared" si="4"/>
        <v>19500</v>
      </c>
      <c r="P29" s="5" t="s">
        <v>692</v>
      </c>
      <c r="Q29" s="5" t="s">
        <v>794</v>
      </c>
      <c r="R29" s="5" t="s">
        <v>795</v>
      </c>
    </row>
    <row r="30" ht="105" customHeight="1" spans="1:18">
      <c r="A30" s="3" t="s">
        <v>796</v>
      </c>
      <c r="B30" s="12" t="s">
        <v>276</v>
      </c>
      <c r="C30" s="3">
        <v>2017</v>
      </c>
      <c r="D30" s="3" t="s">
        <v>797</v>
      </c>
      <c r="E30" s="3" t="s">
        <v>798</v>
      </c>
      <c r="F30" s="3" t="s">
        <v>680</v>
      </c>
      <c r="G30" s="4">
        <v>1</v>
      </c>
      <c r="H30" s="4">
        <v>40</v>
      </c>
      <c r="I30" s="4"/>
      <c r="J30" s="8">
        <v>1</v>
      </c>
      <c r="K30" s="4">
        <f t="shared" si="0"/>
        <v>40</v>
      </c>
      <c r="L30" s="8">
        <f t="shared" si="1"/>
        <v>39</v>
      </c>
      <c r="M30" s="4">
        <f t="shared" si="2"/>
        <v>500</v>
      </c>
      <c r="N30" s="4">
        <f t="shared" si="3"/>
        <v>20000</v>
      </c>
      <c r="O30" s="4">
        <f t="shared" si="4"/>
        <v>19500</v>
      </c>
      <c r="P30" s="3" t="s">
        <v>692</v>
      </c>
      <c r="Q30" s="3" t="s">
        <v>799</v>
      </c>
      <c r="R30" s="3" t="s">
        <v>800</v>
      </c>
    </row>
    <row r="31" ht="105" customHeight="1" spans="1:18">
      <c r="A31" s="5" t="s">
        <v>801</v>
      </c>
      <c r="B31" s="5" t="s">
        <v>440</v>
      </c>
      <c r="C31" s="5">
        <v>2022</v>
      </c>
      <c r="D31" s="5" t="s">
        <v>733</v>
      </c>
      <c r="E31" s="5" t="s">
        <v>734</v>
      </c>
      <c r="F31" s="5" t="s">
        <v>680</v>
      </c>
      <c r="G31" s="6">
        <v>2</v>
      </c>
      <c r="H31" s="6">
        <v>80</v>
      </c>
      <c r="I31" s="6"/>
      <c r="J31" s="10">
        <v>1</v>
      </c>
      <c r="K31" s="6">
        <f t="shared" si="0"/>
        <v>40</v>
      </c>
      <c r="L31" s="10">
        <f t="shared" si="1"/>
        <v>39</v>
      </c>
      <c r="M31" s="6">
        <f t="shared" si="2"/>
        <v>500</v>
      </c>
      <c r="N31" s="6">
        <f t="shared" si="3"/>
        <v>20000</v>
      </c>
      <c r="O31" s="6">
        <f t="shared" si="4"/>
        <v>19500</v>
      </c>
      <c r="P31" s="5" t="s">
        <v>692</v>
      </c>
      <c r="Q31" s="5" t="s">
        <v>802</v>
      </c>
      <c r="R31" s="5" t="s">
        <v>803</v>
      </c>
    </row>
    <row r="32" ht="105" customHeight="1" spans="1:18">
      <c r="A32" s="5" t="s">
        <v>804</v>
      </c>
      <c r="B32" s="5" t="s">
        <v>56</v>
      </c>
      <c r="C32" s="5">
        <v>2014</v>
      </c>
      <c r="D32" s="5" t="s">
        <v>702</v>
      </c>
      <c r="E32" s="5" t="s">
        <v>721</v>
      </c>
      <c r="F32" s="5" t="s">
        <v>680</v>
      </c>
      <c r="G32" s="6">
        <v>2.5</v>
      </c>
      <c r="H32" s="9">
        <v>90</v>
      </c>
      <c r="I32" s="6"/>
      <c r="J32" s="10">
        <v>1</v>
      </c>
      <c r="K32" s="6">
        <f t="shared" si="0"/>
        <v>36</v>
      </c>
      <c r="L32" s="10">
        <f t="shared" si="1"/>
        <v>35</v>
      </c>
      <c r="M32" s="6">
        <f t="shared" si="2"/>
        <v>500</v>
      </c>
      <c r="N32" s="6">
        <f t="shared" si="3"/>
        <v>18000</v>
      </c>
      <c r="O32" s="6">
        <f t="shared" si="4"/>
        <v>17500</v>
      </c>
      <c r="P32" s="5" t="s">
        <v>681</v>
      </c>
      <c r="Q32" s="5" t="s">
        <v>805</v>
      </c>
      <c r="R32" s="5" t="s">
        <v>806</v>
      </c>
    </row>
    <row r="33" ht="105" customHeight="1" spans="1:18">
      <c r="A33" s="5" t="s">
        <v>807</v>
      </c>
      <c r="B33" s="5" t="s">
        <v>453</v>
      </c>
      <c r="C33" s="5">
        <v>2022</v>
      </c>
      <c r="D33" s="5" t="s">
        <v>808</v>
      </c>
      <c r="E33" s="5" t="s">
        <v>809</v>
      </c>
      <c r="F33" s="3" t="s">
        <v>680</v>
      </c>
      <c r="G33" s="6">
        <v>15</v>
      </c>
      <c r="H33" s="6">
        <v>539</v>
      </c>
      <c r="I33" s="6"/>
      <c r="J33" s="10">
        <v>1</v>
      </c>
      <c r="K33" s="6">
        <f t="shared" si="0"/>
        <v>35.9333333333333</v>
      </c>
      <c r="L33" s="10">
        <f t="shared" si="1"/>
        <v>34.9333333333333</v>
      </c>
      <c r="M33" s="6">
        <f t="shared" si="2"/>
        <v>500</v>
      </c>
      <c r="N33" s="6">
        <f t="shared" si="3"/>
        <v>17966.6666666667</v>
      </c>
      <c r="O33" s="6">
        <f t="shared" si="4"/>
        <v>17466.6666666667</v>
      </c>
      <c r="P33" s="5" t="s">
        <v>810</v>
      </c>
      <c r="Q33" s="5" t="s">
        <v>811</v>
      </c>
      <c r="R33" s="5" t="s">
        <v>812</v>
      </c>
    </row>
    <row r="34" ht="105" customHeight="1" spans="1:18">
      <c r="A34" s="5" t="s">
        <v>813</v>
      </c>
      <c r="B34" s="5" t="s">
        <v>186</v>
      </c>
      <c r="C34" s="5">
        <v>2016</v>
      </c>
      <c r="D34" s="5" t="s">
        <v>702</v>
      </c>
      <c r="E34" s="5" t="s">
        <v>721</v>
      </c>
      <c r="F34" s="5" t="s">
        <v>680</v>
      </c>
      <c r="G34" s="6">
        <v>3</v>
      </c>
      <c r="H34" s="6">
        <v>100</v>
      </c>
      <c r="I34" s="6"/>
      <c r="J34" s="10">
        <v>1</v>
      </c>
      <c r="K34" s="6">
        <f t="shared" si="0"/>
        <v>33.3333333333333</v>
      </c>
      <c r="L34" s="10">
        <f t="shared" si="1"/>
        <v>32.3333333333333</v>
      </c>
      <c r="M34" s="6">
        <f t="shared" si="2"/>
        <v>500</v>
      </c>
      <c r="N34" s="6">
        <f t="shared" si="3"/>
        <v>16666.6666666667</v>
      </c>
      <c r="O34" s="6">
        <f t="shared" si="4"/>
        <v>16166.6666666667</v>
      </c>
      <c r="P34" s="5" t="s">
        <v>814</v>
      </c>
      <c r="Q34" s="5" t="s">
        <v>815</v>
      </c>
      <c r="R34" s="5" t="s">
        <v>816</v>
      </c>
    </row>
    <row r="35" ht="105" customHeight="1" spans="1:18">
      <c r="A35" s="3" t="s">
        <v>817</v>
      </c>
      <c r="B35" s="3" t="s">
        <v>173</v>
      </c>
      <c r="C35" s="3">
        <v>2016</v>
      </c>
      <c r="D35" s="3" t="s">
        <v>818</v>
      </c>
      <c r="E35" s="3" t="s">
        <v>789</v>
      </c>
      <c r="F35" s="3" t="s">
        <v>680</v>
      </c>
      <c r="G35" s="4">
        <v>2.1</v>
      </c>
      <c r="H35" s="4">
        <v>65.753668</v>
      </c>
      <c r="I35" s="4"/>
      <c r="J35" s="8">
        <v>1</v>
      </c>
      <c r="K35" s="4">
        <f t="shared" si="0"/>
        <v>31.3112704761905</v>
      </c>
      <c r="L35" s="8">
        <f t="shared" si="1"/>
        <v>30.3112704761905</v>
      </c>
      <c r="M35" s="4">
        <f t="shared" si="2"/>
        <v>500</v>
      </c>
      <c r="N35" s="4">
        <f t="shared" si="3"/>
        <v>15655.6352380952</v>
      </c>
      <c r="O35" s="4">
        <f t="shared" si="4"/>
        <v>15155.6352380952</v>
      </c>
      <c r="P35" s="3" t="s">
        <v>681</v>
      </c>
      <c r="Q35" s="3" t="s">
        <v>819</v>
      </c>
      <c r="R35" s="3" t="s">
        <v>820</v>
      </c>
    </row>
    <row r="36" ht="105" customHeight="1" spans="1:18">
      <c r="A36" s="5" t="s">
        <v>821</v>
      </c>
      <c r="B36" s="5" t="s">
        <v>224</v>
      </c>
      <c r="C36" s="5">
        <v>2016</v>
      </c>
      <c r="D36" s="5" t="s">
        <v>822</v>
      </c>
      <c r="E36" s="5" t="s">
        <v>823</v>
      </c>
      <c r="F36" s="5" t="s">
        <v>680</v>
      </c>
      <c r="G36" s="6">
        <v>15</v>
      </c>
      <c r="H36" s="6">
        <v>428.9924925</v>
      </c>
      <c r="I36" s="6"/>
      <c r="J36" s="10">
        <v>1</v>
      </c>
      <c r="K36" s="6">
        <f t="shared" si="0"/>
        <v>28.5994995</v>
      </c>
      <c r="L36" s="10">
        <f t="shared" si="1"/>
        <v>27.5994995</v>
      </c>
      <c r="M36" s="6">
        <f t="shared" si="2"/>
        <v>500</v>
      </c>
      <c r="N36" s="6">
        <f t="shared" si="3"/>
        <v>14299.74975</v>
      </c>
      <c r="O36" s="6">
        <f t="shared" si="4"/>
        <v>13799.74975</v>
      </c>
      <c r="P36" s="5" t="s">
        <v>681</v>
      </c>
      <c r="Q36" s="5" t="s">
        <v>824</v>
      </c>
      <c r="R36" s="5" t="s">
        <v>825</v>
      </c>
    </row>
    <row r="37" ht="105" customHeight="1" spans="1:18">
      <c r="A37" s="3" t="s">
        <v>826</v>
      </c>
      <c r="B37" s="3" t="s">
        <v>603</v>
      </c>
      <c r="C37" s="3">
        <v>2024</v>
      </c>
      <c r="D37" s="3" t="s">
        <v>827</v>
      </c>
      <c r="E37" s="3" t="s">
        <v>828</v>
      </c>
      <c r="F37" s="3" t="s">
        <v>680</v>
      </c>
      <c r="G37" s="4">
        <v>2.8</v>
      </c>
      <c r="H37" s="4">
        <v>77.4</v>
      </c>
      <c r="I37" s="4"/>
      <c r="J37" s="8">
        <v>1</v>
      </c>
      <c r="K37" s="4">
        <f t="shared" si="0"/>
        <v>27.6428571428571</v>
      </c>
      <c r="L37" s="8">
        <f t="shared" si="1"/>
        <v>26.6428571428571</v>
      </c>
      <c r="M37" s="4">
        <f t="shared" si="2"/>
        <v>500</v>
      </c>
      <c r="N37" s="4">
        <f t="shared" si="3"/>
        <v>13821.4285714286</v>
      </c>
      <c r="O37" s="4">
        <f t="shared" si="4"/>
        <v>13321.4285714286</v>
      </c>
      <c r="P37" s="3" t="s">
        <v>829</v>
      </c>
      <c r="Q37" s="3" t="s">
        <v>830</v>
      </c>
      <c r="R37" s="3" t="s">
        <v>831</v>
      </c>
    </row>
    <row r="38" ht="105" customHeight="1" spans="1:18">
      <c r="A38" s="3" t="s">
        <v>832</v>
      </c>
      <c r="B38" s="12" t="s">
        <v>212</v>
      </c>
      <c r="C38" s="3">
        <v>2016</v>
      </c>
      <c r="D38" s="3" t="s">
        <v>833</v>
      </c>
      <c r="E38" s="3" t="s">
        <v>834</v>
      </c>
      <c r="F38" s="5" t="s">
        <v>680</v>
      </c>
      <c r="G38" s="4">
        <v>5.5</v>
      </c>
      <c r="H38" s="4">
        <v>146</v>
      </c>
      <c r="I38" s="4"/>
      <c r="J38" s="8">
        <v>1</v>
      </c>
      <c r="K38" s="4">
        <f t="shared" si="0"/>
        <v>26.5454545454545</v>
      </c>
      <c r="L38" s="8">
        <f t="shared" si="1"/>
        <v>25.5454545454545</v>
      </c>
      <c r="M38" s="4">
        <f t="shared" si="2"/>
        <v>500</v>
      </c>
      <c r="N38" s="4">
        <f t="shared" si="3"/>
        <v>13272.7272727273</v>
      </c>
      <c r="O38" s="4">
        <f t="shared" si="4"/>
        <v>12772.7272727273</v>
      </c>
      <c r="P38" s="3" t="s">
        <v>835</v>
      </c>
      <c r="Q38" s="3" t="s">
        <v>836</v>
      </c>
      <c r="R38" s="3" t="s">
        <v>837</v>
      </c>
    </row>
    <row r="39" ht="105" customHeight="1" spans="1:18">
      <c r="A39" s="5" t="s">
        <v>838</v>
      </c>
      <c r="B39" s="11" t="s">
        <v>527</v>
      </c>
      <c r="C39" s="5">
        <v>2023</v>
      </c>
      <c r="D39" s="5" t="s">
        <v>702</v>
      </c>
      <c r="E39" s="5" t="s">
        <v>725</v>
      </c>
      <c r="F39" s="5" t="s">
        <v>680</v>
      </c>
      <c r="G39" s="6">
        <v>6</v>
      </c>
      <c r="H39" s="6">
        <v>143</v>
      </c>
      <c r="I39" s="6"/>
      <c r="J39" s="10">
        <v>1</v>
      </c>
      <c r="K39" s="6">
        <f t="shared" si="0"/>
        <v>23.8333333333333</v>
      </c>
      <c r="L39" s="10">
        <f t="shared" si="1"/>
        <v>22.8333333333333</v>
      </c>
      <c r="M39" s="6">
        <f t="shared" si="2"/>
        <v>500</v>
      </c>
      <c r="N39" s="6">
        <f t="shared" si="3"/>
        <v>11916.6666666667</v>
      </c>
      <c r="O39" s="6">
        <f t="shared" si="4"/>
        <v>11416.6666666667</v>
      </c>
      <c r="P39" s="5" t="s">
        <v>839</v>
      </c>
      <c r="Q39" s="5" t="s">
        <v>840</v>
      </c>
      <c r="R39" s="5" t="s">
        <v>841</v>
      </c>
    </row>
    <row r="40" ht="105" customHeight="1" spans="1:18">
      <c r="A40" s="5" t="s">
        <v>842</v>
      </c>
      <c r="B40" s="5" t="s">
        <v>376</v>
      </c>
      <c r="C40" s="5">
        <v>2020</v>
      </c>
      <c r="D40" s="5" t="s">
        <v>733</v>
      </c>
      <c r="E40" s="5" t="s">
        <v>734</v>
      </c>
      <c r="F40" s="5" t="s">
        <v>680</v>
      </c>
      <c r="G40" s="6">
        <v>2.6</v>
      </c>
      <c r="H40" s="6">
        <v>52</v>
      </c>
      <c r="I40" s="6"/>
      <c r="J40" s="10">
        <v>1</v>
      </c>
      <c r="K40" s="6">
        <f t="shared" si="0"/>
        <v>20</v>
      </c>
      <c r="L40" s="10">
        <f t="shared" si="1"/>
        <v>19</v>
      </c>
      <c r="M40" s="6">
        <f t="shared" si="2"/>
        <v>500</v>
      </c>
      <c r="N40" s="6">
        <f t="shared" si="3"/>
        <v>10000</v>
      </c>
      <c r="O40" s="6">
        <f t="shared" si="4"/>
        <v>9500</v>
      </c>
      <c r="P40" s="5" t="s">
        <v>692</v>
      </c>
      <c r="Q40" s="5" t="s">
        <v>843</v>
      </c>
      <c r="R40" s="5" t="s">
        <v>736</v>
      </c>
    </row>
    <row r="41" ht="105" customHeight="1" spans="1:18">
      <c r="A41" s="5" t="s">
        <v>844</v>
      </c>
      <c r="B41" s="5" t="s">
        <v>565</v>
      </c>
      <c r="C41" s="5">
        <v>2024</v>
      </c>
      <c r="D41" s="5" t="s">
        <v>845</v>
      </c>
      <c r="E41" s="5" t="s">
        <v>846</v>
      </c>
      <c r="F41" s="5" t="s">
        <v>680</v>
      </c>
      <c r="G41" s="6">
        <v>10</v>
      </c>
      <c r="H41" s="6">
        <v>200</v>
      </c>
      <c r="I41" s="6"/>
      <c r="J41" s="10">
        <v>1</v>
      </c>
      <c r="K41" s="6">
        <f t="shared" si="0"/>
        <v>20</v>
      </c>
      <c r="L41" s="10">
        <f t="shared" si="1"/>
        <v>19</v>
      </c>
      <c r="M41" s="6">
        <f t="shared" si="2"/>
        <v>500</v>
      </c>
      <c r="N41" s="6">
        <f t="shared" si="3"/>
        <v>10000</v>
      </c>
      <c r="O41" s="6">
        <f t="shared" si="4"/>
        <v>9500</v>
      </c>
      <c r="P41" s="5" t="s">
        <v>847</v>
      </c>
      <c r="Q41" s="5" t="s">
        <v>848</v>
      </c>
      <c r="R41" s="5" t="s">
        <v>849</v>
      </c>
    </row>
    <row r="42" ht="105" customHeight="1" spans="1:18">
      <c r="A42" s="3" t="s">
        <v>850</v>
      </c>
      <c r="B42" s="3" t="s">
        <v>326</v>
      </c>
      <c r="C42" s="3">
        <v>2020</v>
      </c>
      <c r="D42" s="3" t="s">
        <v>851</v>
      </c>
      <c r="E42" s="3" t="s">
        <v>852</v>
      </c>
      <c r="F42" s="3" t="s">
        <v>680</v>
      </c>
      <c r="G42" s="4">
        <v>1565</v>
      </c>
      <c r="H42" s="4">
        <v>29590.68</v>
      </c>
      <c r="I42" s="4"/>
      <c r="J42" s="8">
        <v>1</v>
      </c>
      <c r="K42" s="4">
        <f t="shared" si="0"/>
        <v>18.9077827476038</v>
      </c>
      <c r="L42" s="8">
        <f t="shared" si="1"/>
        <v>17.9077827476038</v>
      </c>
      <c r="M42" s="4">
        <f t="shared" si="2"/>
        <v>500</v>
      </c>
      <c r="N42" s="4">
        <f t="shared" si="3"/>
        <v>9453.89137380192</v>
      </c>
      <c r="O42" s="4">
        <f t="shared" si="4"/>
        <v>8953.89137380192</v>
      </c>
      <c r="P42" s="3" t="s">
        <v>681</v>
      </c>
      <c r="Q42" s="3" t="s">
        <v>853</v>
      </c>
      <c r="R42" s="3" t="s">
        <v>854</v>
      </c>
    </row>
    <row r="43" ht="105" customHeight="1" spans="1:18">
      <c r="A43" s="3" t="s">
        <v>855</v>
      </c>
      <c r="B43" s="3" t="s">
        <v>94</v>
      </c>
      <c r="C43" s="3">
        <v>2016</v>
      </c>
      <c r="D43" s="3" t="s">
        <v>856</v>
      </c>
      <c r="E43" s="3" t="s">
        <v>857</v>
      </c>
      <c r="F43" s="3" t="s">
        <v>680</v>
      </c>
      <c r="G43" s="4">
        <v>14.82</v>
      </c>
      <c r="H43" s="4">
        <v>267.614377</v>
      </c>
      <c r="I43" s="4"/>
      <c r="J43" s="8">
        <v>1</v>
      </c>
      <c r="K43" s="4">
        <f t="shared" si="0"/>
        <v>18.0576502699055</v>
      </c>
      <c r="L43" s="8">
        <f t="shared" si="1"/>
        <v>17.0576502699055</v>
      </c>
      <c r="M43" s="4">
        <f t="shared" si="2"/>
        <v>500</v>
      </c>
      <c r="N43" s="4">
        <f t="shared" si="3"/>
        <v>9028.82513495277</v>
      </c>
      <c r="O43" s="4">
        <f t="shared" si="4"/>
        <v>8528.82513495277</v>
      </c>
      <c r="P43" s="3" t="s">
        <v>681</v>
      </c>
      <c r="Q43" s="3" t="s">
        <v>858</v>
      </c>
      <c r="R43" s="3" t="s">
        <v>859</v>
      </c>
    </row>
    <row r="44" ht="105" customHeight="1" spans="1:18">
      <c r="A44" s="3" t="s">
        <v>860</v>
      </c>
      <c r="B44" s="12" t="s">
        <v>134</v>
      </c>
      <c r="C44" s="3">
        <v>2019</v>
      </c>
      <c r="D44" s="3" t="s">
        <v>861</v>
      </c>
      <c r="E44" s="3" t="s">
        <v>862</v>
      </c>
      <c r="F44" s="3" t="s">
        <v>710</v>
      </c>
      <c r="G44" s="4">
        <v>1</v>
      </c>
      <c r="H44" s="4">
        <v>16.7</v>
      </c>
      <c r="I44" s="4"/>
      <c r="J44" s="8">
        <v>1</v>
      </c>
      <c r="K44" s="4">
        <f t="shared" si="0"/>
        <v>16.7</v>
      </c>
      <c r="L44" s="8">
        <f t="shared" si="1"/>
        <v>15.7</v>
      </c>
      <c r="M44" s="4">
        <f t="shared" si="2"/>
        <v>500</v>
      </c>
      <c r="N44" s="4">
        <f t="shared" si="3"/>
        <v>8350</v>
      </c>
      <c r="O44" s="4">
        <f t="shared" si="4"/>
        <v>7850</v>
      </c>
      <c r="P44" s="3" t="s">
        <v>863</v>
      </c>
      <c r="Q44" s="3" t="s">
        <v>864</v>
      </c>
      <c r="R44" s="3" t="s">
        <v>865</v>
      </c>
    </row>
    <row r="45" ht="105" customHeight="1" spans="1:18">
      <c r="A45" s="3" t="s">
        <v>866</v>
      </c>
      <c r="B45" s="3" t="s">
        <v>237</v>
      </c>
      <c r="C45" s="3">
        <v>2018</v>
      </c>
      <c r="D45" s="3" t="s">
        <v>867</v>
      </c>
      <c r="E45" s="3" t="s">
        <v>868</v>
      </c>
      <c r="F45" s="3" t="s">
        <v>710</v>
      </c>
      <c r="G45" s="4">
        <v>3</v>
      </c>
      <c r="H45" s="4">
        <v>48</v>
      </c>
      <c r="I45" s="4"/>
      <c r="J45" s="8">
        <v>1</v>
      </c>
      <c r="K45" s="4">
        <f t="shared" si="0"/>
        <v>16</v>
      </c>
      <c r="L45" s="8">
        <f t="shared" si="1"/>
        <v>15</v>
      </c>
      <c r="M45" s="4">
        <f t="shared" si="2"/>
        <v>500</v>
      </c>
      <c r="N45" s="4">
        <f t="shared" si="3"/>
        <v>8000</v>
      </c>
      <c r="O45" s="4">
        <f t="shared" si="4"/>
        <v>7500</v>
      </c>
      <c r="P45" s="3" t="s">
        <v>681</v>
      </c>
      <c r="Q45" s="3" t="s">
        <v>869</v>
      </c>
      <c r="R45" s="3" t="s">
        <v>870</v>
      </c>
    </row>
    <row r="46" ht="105" customHeight="1" spans="1:18">
      <c r="A46" s="5" t="s">
        <v>871</v>
      </c>
      <c r="B46" s="5" t="s">
        <v>120</v>
      </c>
      <c r="C46" s="5">
        <v>2015</v>
      </c>
      <c r="D46" s="5" t="s">
        <v>872</v>
      </c>
      <c r="E46" s="5" t="s">
        <v>873</v>
      </c>
      <c r="F46" s="5" t="s">
        <v>680</v>
      </c>
      <c r="G46" s="6">
        <v>33.2592</v>
      </c>
      <c r="H46" s="6">
        <v>518.49</v>
      </c>
      <c r="I46" s="6"/>
      <c r="J46" s="10">
        <v>1</v>
      </c>
      <c r="K46" s="6">
        <f t="shared" si="0"/>
        <v>15.5893707605715</v>
      </c>
      <c r="L46" s="10">
        <f t="shared" si="1"/>
        <v>14.5893707605715</v>
      </c>
      <c r="M46" s="6">
        <f t="shared" si="2"/>
        <v>500</v>
      </c>
      <c r="N46" s="6">
        <f t="shared" si="3"/>
        <v>7794.68538028576</v>
      </c>
      <c r="O46" s="6">
        <f t="shared" si="4"/>
        <v>7294.68538028576</v>
      </c>
      <c r="P46" s="5" t="s">
        <v>681</v>
      </c>
      <c r="Q46" s="5" t="s">
        <v>874</v>
      </c>
      <c r="R46" s="5" t="s">
        <v>875</v>
      </c>
    </row>
    <row r="47" ht="105" customHeight="1" spans="1:18">
      <c r="A47" s="3" t="s">
        <v>876</v>
      </c>
      <c r="B47" s="3" t="s">
        <v>31</v>
      </c>
      <c r="C47" s="3">
        <v>2013</v>
      </c>
      <c r="D47" s="3" t="s">
        <v>877</v>
      </c>
      <c r="E47" s="3" t="s">
        <v>721</v>
      </c>
      <c r="F47" s="3" t="s">
        <v>710</v>
      </c>
      <c r="G47" s="4">
        <v>15</v>
      </c>
      <c r="H47" s="4">
        <v>160</v>
      </c>
      <c r="I47" s="4"/>
      <c r="J47" s="8">
        <v>1</v>
      </c>
      <c r="K47" s="4">
        <f t="shared" si="0"/>
        <v>10.6666666666667</v>
      </c>
      <c r="L47" s="8">
        <f t="shared" si="1"/>
        <v>9.66666666666667</v>
      </c>
      <c r="M47" s="4">
        <f t="shared" si="2"/>
        <v>500</v>
      </c>
      <c r="N47" s="4">
        <f t="shared" si="3"/>
        <v>5333.33333333333</v>
      </c>
      <c r="O47" s="4">
        <f t="shared" si="4"/>
        <v>4833.33333333333</v>
      </c>
      <c r="P47" s="3" t="s">
        <v>878</v>
      </c>
      <c r="Q47" s="3" t="s">
        <v>879</v>
      </c>
      <c r="R47" s="3" t="s">
        <v>880</v>
      </c>
    </row>
    <row r="48" ht="105" customHeight="1" spans="1:18">
      <c r="A48" s="3" t="s">
        <v>881</v>
      </c>
      <c r="B48" s="3" t="s">
        <v>616</v>
      </c>
      <c r="C48" s="3">
        <v>2026</v>
      </c>
      <c r="D48" s="3" t="s">
        <v>882</v>
      </c>
      <c r="E48" s="3" t="s">
        <v>691</v>
      </c>
      <c r="F48" s="3" t="s">
        <v>680</v>
      </c>
      <c r="G48" s="4"/>
      <c r="H48" s="4"/>
      <c r="I48" s="4">
        <v>8</v>
      </c>
      <c r="J48" s="8">
        <v>1</v>
      </c>
      <c r="K48" s="4">
        <f t="shared" si="0"/>
        <v>8</v>
      </c>
      <c r="L48" s="8">
        <f t="shared" si="1"/>
        <v>7</v>
      </c>
      <c r="M48" s="4">
        <f t="shared" si="2"/>
        <v>500</v>
      </c>
      <c r="N48" s="4">
        <f t="shared" si="3"/>
        <v>4000</v>
      </c>
      <c r="O48" s="4">
        <f t="shared" si="4"/>
        <v>3500</v>
      </c>
      <c r="P48" s="3" t="s">
        <v>692</v>
      </c>
      <c r="Q48" s="3" t="s">
        <v>693</v>
      </c>
      <c r="R48" s="3" t="s">
        <v>694</v>
      </c>
    </row>
    <row r="49" ht="105" customHeight="1" spans="1:18">
      <c r="A49" s="3" t="s">
        <v>883</v>
      </c>
      <c r="B49" s="3" t="s">
        <v>339</v>
      </c>
      <c r="C49" s="3">
        <v>2020</v>
      </c>
      <c r="D49" s="3" t="s">
        <v>884</v>
      </c>
      <c r="E49" s="3" t="s">
        <v>885</v>
      </c>
      <c r="F49" s="3" t="s">
        <v>680</v>
      </c>
      <c r="G49" s="4">
        <v>29.08</v>
      </c>
      <c r="H49" s="4">
        <v>228.75</v>
      </c>
      <c r="I49" s="4"/>
      <c r="J49" s="8">
        <v>1</v>
      </c>
      <c r="K49" s="4">
        <f t="shared" si="0"/>
        <v>7.8662310866575</v>
      </c>
      <c r="L49" s="8">
        <f t="shared" si="1"/>
        <v>6.8662310866575</v>
      </c>
      <c r="M49" s="4">
        <f t="shared" si="2"/>
        <v>500</v>
      </c>
      <c r="N49" s="4">
        <f t="shared" si="3"/>
        <v>3933.11554332875</v>
      </c>
      <c r="O49" s="4">
        <f t="shared" si="4"/>
        <v>3433.11554332875</v>
      </c>
      <c r="P49" s="3" t="s">
        <v>681</v>
      </c>
      <c r="Q49" s="3" t="s">
        <v>886</v>
      </c>
      <c r="R49" s="3" t="s">
        <v>887</v>
      </c>
    </row>
    <row r="50" ht="105" customHeight="1" spans="1:18">
      <c r="A50" s="3" t="s">
        <v>888</v>
      </c>
      <c r="B50" s="3" t="s">
        <v>629</v>
      </c>
      <c r="C50" s="3">
        <v>2015</v>
      </c>
      <c r="D50" s="3" t="s">
        <v>889</v>
      </c>
      <c r="E50" s="3" t="s">
        <v>890</v>
      </c>
      <c r="F50" s="3" t="s">
        <v>680</v>
      </c>
      <c r="G50" s="4">
        <v>66</v>
      </c>
      <c r="H50" s="4">
        <v>290.1402496496</v>
      </c>
      <c r="I50" s="4"/>
      <c r="J50" s="8">
        <v>1</v>
      </c>
      <c r="K50" s="4">
        <f t="shared" si="0"/>
        <v>4.3960643886303</v>
      </c>
      <c r="L50" s="8">
        <f t="shared" si="1"/>
        <v>3.3960643886303</v>
      </c>
      <c r="M50" s="4">
        <f t="shared" si="2"/>
        <v>500</v>
      </c>
      <c r="N50" s="4">
        <f t="shared" si="3"/>
        <v>2198.03219431515</v>
      </c>
      <c r="O50" s="4">
        <f t="shared" si="4"/>
        <v>1698.03219431515</v>
      </c>
      <c r="P50" s="3" t="s">
        <v>681</v>
      </c>
      <c r="Q50" s="3" t="s">
        <v>891</v>
      </c>
      <c r="R50" s="3" t="s">
        <v>892</v>
      </c>
    </row>
    <row r="51" ht="105" customHeight="1" spans="1:18">
      <c r="A51" s="5" t="s">
        <v>893</v>
      </c>
      <c r="B51" s="5" t="s">
        <v>107</v>
      </c>
      <c r="C51" s="5">
        <v>2015</v>
      </c>
      <c r="D51" s="5" t="s">
        <v>894</v>
      </c>
      <c r="E51" s="5" t="s">
        <v>895</v>
      </c>
      <c r="F51" s="5" t="s">
        <v>680</v>
      </c>
      <c r="G51" s="6"/>
      <c r="H51" s="6"/>
      <c r="I51" s="6">
        <v>0.1</v>
      </c>
      <c r="J51" s="10">
        <v>1</v>
      </c>
      <c r="K51" s="6">
        <f t="shared" si="0"/>
        <v>0.1</v>
      </c>
      <c r="L51" s="10">
        <f t="shared" si="1"/>
        <v>-0.9</v>
      </c>
      <c r="M51" s="6">
        <f t="shared" si="2"/>
        <v>500</v>
      </c>
      <c r="N51" s="6">
        <f t="shared" si="3"/>
        <v>50</v>
      </c>
      <c r="O51" s="6">
        <f t="shared" si="4"/>
        <v>-450</v>
      </c>
      <c r="P51" s="5" t="s">
        <v>681</v>
      </c>
      <c r="Q51" s="5" t="s">
        <v>896</v>
      </c>
      <c r="R51" s="5" t="s">
        <v>897</v>
      </c>
    </row>
    <row r="52" ht="105" customHeight="1" spans="1:18">
      <c r="A52" s="5" t="s">
        <v>898</v>
      </c>
      <c r="B52" s="5" t="s">
        <v>288</v>
      </c>
      <c r="C52" s="5">
        <v>2018</v>
      </c>
      <c r="D52" s="5" t="s">
        <v>899</v>
      </c>
      <c r="E52" s="5" t="s">
        <v>900</v>
      </c>
      <c r="F52" s="5" t="s">
        <v>680</v>
      </c>
      <c r="G52" s="6"/>
      <c r="H52" s="6"/>
      <c r="I52" s="6">
        <v>0.1</v>
      </c>
      <c r="J52" s="10">
        <v>1</v>
      </c>
      <c r="K52" s="6">
        <f t="shared" si="0"/>
        <v>0.1</v>
      </c>
      <c r="L52" s="10">
        <f t="shared" si="1"/>
        <v>-0.9</v>
      </c>
      <c r="M52" s="6">
        <f t="shared" si="2"/>
        <v>500</v>
      </c>
      <c r="N52" s="6">
        <f t="shared" si="3"/>
        <v>50</v>
      </c>
      <c r="O52" s="6">
        <f t="shared" si="4"/>
        <v>-450</v>
      </c>
      <c r="P52" s="5" t="s">
        <v>681</v>
      </c>
      <c r="Q52" s="5" t="s">
        <v>901</v>
      </c>
      <c r="R52" s="5" t="s">
        <v>902</v>
      </c>
    </row>
    <row r="53" ht="105" customHeight="1" spans="1:18">
      <c r="A53" s="3" t="s">
        <v>903</v>
      </c>
      <c r="B53" s="3" t="s">
        <v>353</v>
      </c>
      <c r="C53" s="3">
        <v>2020</v>
      </c>
      <c r="D53" s="3" t="s">
        <v>899</v>
      </c>
      <c r="E53" s="3" t="s">
        <v>900</v>
      </c>
      <c r="F53" s="3" t="s">
        <v>680</v>
      </c>
      <c r="G53" s="4"/>
      <c r="H53" s="4"/>
      <c r="I53" s="4">
        <v>0.1</v>
      </c>
      <c r="J53" s="8">
        <v>1</v>
      </c>
      <c r="K53" s="4">
        <f t="shared" si="0"/>
        <v>0.1</v>
      </c>
      <c r="L53" s="8">
        <f t="shared" si="1"/>
        <v>-0.9</v>
      </c>
      <c r="M53" s="4">
        <f t="shared" si="2"/>
        <v>500</v>
      </c>
      <c r="N53" s="4">
        <f t="shared" si="3"/>
        <v>50</v>
      </c>
      <c r="O53" s="4">
        <f t="shared" si="4"/>
        <v>-450</v>
      </c>
      <c r="P53" s="3" t="s">
        <v>681</v>
      </c>
      <c r="Q53" s="3" t="s">
        <v>904</v>
      </c>
      <c r="R53" s="3" t="s">
        <v>902</v>
      </c>
    </row>
    <row r="54" ht="105" customHeight="1" spans="1:18">
      <c r="A54" s="5" t="s">
        <v>905</v>
      </c>
      <c r="B54" s="5" t="s">
        <v>364</v>
      </c>
      <c r="C54" s="5">
        <v>2020</v>
      </c>
      <c r="D54" s="5" t="s">
        <v>702</v>
      </c>
      <c r="E54" s="5" t="s">
        <v>906</v>
      </c>
      <c r="F54" s="5" t="s">
        <v>680</v>
      </c>
      <c r="G54" s="6"/>
      <c r="H54" s="6"/>
      <c r="I54" s="6">
        <v>0.1</v>
      </c>
      <c r="J54" s="10">
        <v>1</v>
      </c>
      <c r="K54" s="6">
        <f t="shared" si="0"/>
        <v>0.1</v>
      </c>
      <c r="L54" s="10">
        <f t="shared" si="1"/>
        <v>-0.9</v>
      </c>
      <c r="M54" s="6">
        <f t="shared" si="2"/>
        <v>500</v>
      </c>
      <c r="N54" s="6">
        <f t="shared" si="3"/>
        <v>50</v>
      </c>
      <c r="O54" s="6">
        <f t="shared" si="4"/>
        <v>-450</v>
      </c>
      <c r="P54" s="5" t="s">
        <v>681</v>
      </c>
      <c r="Q54" s="5" t="s">
        <v>907</v>
      </c>
      <c r="R54" s="5" t="s">
        <v>908</v>
      </c>
    </row>
    <row r="55" ht="105" customHeight="1" spans="1:18">
      <c r="A55" s="5" t="s">
        <v>909</v>
      </c>
      <c r="B55" s="5" t="s">
        <v>428</v>
      </c>
      <c r="C55" s="5">
        <v>2021</v>
      </c>
      <c r="D55" s="5" t="s">
        <v>910</v>
      </c>
      <c r="E55" s="5" t="s">
        <v>911</v>
      </c>
      <c r="F55" s="5" t="s">
        <v>680</v>
      </c>
      <c r="G55" s="6"/>
      <c r="H55" s="6"/>
      <c r="I55" s="6">
        <v>0.1</v>
      </c>
      <c r="J55" s="10">
        <v>1</v>
      </c>
      <c r="K55" s="6">
        <f t="shared" si="0"/>
        <v>0.1</v>
      </c>
      <c r="L55" s="10">
        <f t="shared" si="1"/>
        <v>-0.9</v>
      </c>
      <c r="M55" s="6">
        <f t="shared" si="2"/>
        <v>500</v>
      </c>
      <c r="N55" s="6">
        <f t="shared" si="3"/>
        <v>50</v>
      </c>
      <c r="O55" s="6">
        <f t="shared" si="4"/>
        <v>-450</v>
      </c>
      <c r="P55" s="5" t="s">
        <v>681</v>
      </c>
      <c r="Q55" s="5" t="s">
        <v>912</v>
      </c>
      <c r="R55" s="5" t="s">
        <v>913</v>
      </c>
    </row>
    <row r="56" ht="105" customHeight="1" spans="1:18">
      <c r="A56" s="5" t="s">
        <v>914</v>
      </c>
      <c r="B56" s="5" t="s">
        <v>642</v>
      </c>
      <c r="C56" s="5">
        <v>2013</v>
      </c>
      <c r="D56" s="5" t="s">
        <v>915</v>
      </c>
      <c r="E56" s="5" t="s">
        <v>734</v>
      </c>
      <c r="F56" s="5" t="s">
        <v>680</v>
      </c>
      <c r="G56" s="6"/>
      <c r="H56" s="6">
        <v>0</v>
      </c>
      <c r="I56" s="6">
        <v>0.1</v>
      </c>
      <c r="J56" s="10">
        <v>1</v>
      </c>
      <c r="K56" s="6">
        <f t="shared" si="0"/>
        <v>0.1</v>
      </c>
      <c r="L56" s="10">
        <f t="shared" si="1"/>
        <v>-0.9</v>
      </c>
      <c r="M56" s="6">
        <f t="shared" si="2"/>
        <v>500</v>
      </c>
      <c r="N56" s="6">
        <f t="shared" si="3"/>
        <v>50</v>
      </c>
      <c r="O56" s="6">
        <f t="shared" si="4"/>
        <v>-450</v>
      </c>
      <c r="P56" s="5" t="s">
        <v>692</v>
      </c>
      <c r="Q56" s="5" t="s">
        <v>916</v>
      </c>
      <c r="R56" s="5" t="s">
        <v>917</v>
      </c>
    </row>
  </sheetData>
  <autoFilter xmlns:etc="http://www.wps.cn/officeDocument/2017/etCustomData" ref="A6:R56" etc:filterBottomFollowUsedRange="0">
    <sortState ref="A6:R56">
      <sortCondition ref="K6" descending="1"/>
    </sortState>
    <extLst/>
  </autoFilter>
  <mergeCells count="2">
    <mergeCell ref="A1:R1"/>
    <mergeCell ref="D2:R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88A9C"/>
  </sheetPr>
  <dimension ref="A1:K57"/>
  <sheetViews>
    <sheetView showGridLines="0" workbookViewId="0">
      <pane xSplit="2" ySplit="7" topLeftCell="C8" activePane="bottomRight" state="frozen"/>
      <selection/>
      <selection pane="topRight"/>
      <selection pane="bottomLeft"/>
      <selection pane="bottomRight" activeCell="A1" sqref="A1:K1"/>
    </sheetView>
  </sheetViews>
  <sheetFormatPr defaultColWidth="9" defaultRowHeight="16.8"/>
  <cols>
    <col min="1" max="1" width="10" customWidth="1"/>
    <col min="2" max="2" width="22" customWidth="1"/>
    <col min="3" max="4" width="28" customWidth="1"/>
    <col min="5" max="6" width="54" customWidth="1"/>
    <col min="7" max="7" width="16" customWidth="1"/>
    <col min="8" max="8" width="48" customWidth="1"/>
    <col min="9" max="9" width="40" customWidth="1"/>
    <col min="10" max="10" width="92" customWidth="1"/>
    <col min="11" max="11" width="40" customWidth="1"/>
  </cols>
  <sheetData>
    <row r="1" ht="32" customHeight="1" spans="1:11">
      <c r="A1" s="1" t="s">
        <v>918</v>
      </c>
      <c r="B1" s="1"/>
      <c r="C1" s="1"/>
      <c r="D1" s="1"/>
      <c r="E1" s="1"/>
      <c r="F1" s="1"/>
      <c r="G1" s="1"/>
      <c r="H1" s="1"/>
      <c r="I1" s="1"/>
      <c r="J1" s="1"/>
      <c r="K1" s="1"/>
    </row>
    <row r="7" ht="36" customHeight="1" spans="1:11">
      <c r="A7" s="2" t="s">
        <v>659</v>
      </c>
      <c r="B7" s="2" t="s">
        <v>919</v>
      </c>
      <c r="C7" s="2" t="s">
        <v>920</v>
      </c>
      <c r="D7" s="2" t="s">
        <v>921</v>
      </c>
      <c r="E7" s="2" t="s">
        <v>922</v>
      </c>
      <c r="F7" s="2" t="s">
        <v>923</v>
      </c>
      <c r="G7" s="2" t="s">
        <v>924</v>
      </c>
      <c r="H7" s="2" t="s">
        <v>925</v>
      </c>
      <c r="I7" s="2" t="s">
        <v>676</v>
      </c>
      <c r="J7" s="2" t="s">
        <v>926</v>
      </c>
      <c r="K7" s="2" t="s">
        <v>927</v>
      </c>
    </row>
    <row r="8" ht="140" customHeight="1" spans="1:11">
      <c r="A8" s="3" t="s">
        <v>689</v>
      </c>
      <c r="B8" s="3" t="s">
        <v>160</v>
      </c>
      <c r="C8" s="3" t="s">
        <v>928</v>
      </c>
      <c r="D8" s="3" t="s">
        <v>691</v>
      </c>
      <c r="E8" s="3" t="s">
        <v>929</v>
      </c>
      <c r="F8" s="3" t="s">
        <v>930</v>
      </c>
      <c r="G8" s="4">
        <v>1035</v>
      </c>
      <c r="H8" s="3" t="s">
        <v>931</v>
      </c>
      <c r="I8" s="3" t="s">
        <v>694</v>
      </c>
      <c r="J8" s="3" t="s">
        <v>932</v>
      </c>
      <c r="K8" s="3" t="s">
        <v>933</v>
      </c>
    </row>
    <row r="9" ht="140" customHeight="1" spans="1:11">
      <c r="A9" s="5" t="s">
        <v>801</v>
      </c>
      <c r="B9" s="5" t="s">
        <v>440</v>
      </c>
      <c r="C9" s="5" t="s">
        <v>934</v>
      </c>
      <c r="D9" s="5" t="s">
        <v>734</v>
      </c>
      <c r="E9" s="5" t="s">
        <v>935</v>
      </c>
      <c r="F9" s="5" t="s">
        <v>936</v>
      </c>
      <c r="G9" s="6">
        <v>40</v>
      </c>
      <c r="H9" s="5" t="s">
        <v>937</v>
      </c>
      <c r="I9" s="5" t="s">
        <v>803</v>
      </c>
      <c r="J9" s="5" t="s">
        <v>938</v>
      </c>
      <c r="K9" s="5" t="s">
        <v>933</v>
      </c>
    </row>
    <row r="10" ht="140" customHeight="1" spans="1:11">
      <c r="A10" s="3" t="s">
        <v>881</v>
      </c>
      <c r="B10" s="3" t="s">
        <v>616</v>
      </c>
      <c r="C10" s="3" t="s">
        <v>939</v>
      </c>
      <c r="D10" s="3" t="s">
        <v>691</v>
      </c>
      <c r="E10" s="3" t="s">
        <v>940</v>
      </c>
      <c r="F10" s="3" t="s">
        <v>930</v>
      </c>
      <c r="G10" s="4">
        <v>8</v>
      </c>
      <c r="H10" s="3" t="s">
        <v>931</v>
      </c>
      <c r="I10" s="3" t="s">
        <v>694</v>
      </c>
      <c r="J10" s="3" t="s">
        <v>941</v>
      </c>
      <c r="K10" s="3" t="s">
        <v>933</v>
      </c>
    </row>
    <row r="11" ht="140" customHeight="1" spans="1:11">
      <c r="A11" s="5" t="s">
        <v>760</v>
      </c>
      <c r="B11" s="5" t="s">
        <v>551</v>
      </c>
      <c r="C11" s="5" t="s">
        <v>942</v>
      </c>
      <c r="D11" s="5" t="s">
        <v>734</v>
      </c>
      <c r="E11" s="5" t="s">
        <v>943</v>
      </c>
      <c r="F11" s="5" t="s">
        <v>944</v>
      </c>
      <c r="G11" s="6">
        <v>80</v>
      </c>
      <c r="H11" s="5" t="s">
        <v>937</v>
      </c>
      <c r="I11" s="5" t="s">
        <v>736</v>
      </c>
      <c r="J11" s="5" t="s">
        <v>945</v>
      </c>
      <c r="K11" s="5" t="s">
        <v>933</v>
      </c>
    </row>
    <row r="12" ht="140" customHeight="1" spans="1:11">
      <c r="A12" s="3" t="s">
        <v>720</v>
      </c>
      <c r="B12" s="3" t="s">
        <v>69</v>
      </c>
      <c r="C12" s="3" t="s">
        <v>946</v>
      </c>
      <c r="D12" s="3" t="s">
        <v>721</v>
      </c>
      <c r="E12" s="3" t="s">
        <v>947</v>
      </c>
      <c r="F12" s="3" t="s">
        <v>948</v>
      </c>
      <c r="G12" s="4"/>
      <c r="H12" s="3" t="s">
        <v>949</v>
      </c>
      <c r="I12" s="3" t="s">
        <v>723</v>
      </c>
      <c r="J12" s="3" t="s">
        <v>950</v>
      </c>
      <c r="K12" s="3" t="s">
        <v>951</v>
      </c>
    </row>
    <row r="13" ht="140" customHeight="1" spans="1:11">
      <c r="A13" s="5" t="s">
        <v>804</v>
      </c>
      <c r="B13" s="5" t="s">
        <v>56</v>
      </c>
      <c r="C13" s="5" t="s">
        <v>952</v>
      </c>
      <c r="D13" s="5" t="s">
        <v>721</v>
      </c>
      <c r="E13" s="5" t="s">
        <v>953</v>
      </c>
      <c r="F13" s="5" t="s">
        <v>954</v>
      </c>
      <c r="G13" s="6"/>
      <c r="H13" s="5" t="s">
        <v>949</v>
      </c>
      <c r="I13" s="5" t="s">
        <v>806</v>
      </c>
      <c r="J13" s="5" t="s">
        <v>955</v>
      </c>
      <c r="K13" s="5" t="s">
        <v>951</v>
      </c>
    </row>
    <row r="14" ht="140" customHeight="1" spans="1:11">
      <c r="A14" s="3" t="s">
        <v>850</v>
      </c>
      <c r="B14" s="3" t="s">
        <v>326</v>
      </c>
      <c r="C14" s="3" t="s">
        <v>956</v>
      </c>
      <c r="D14" s="3" t="s">
        <v>852</v>
      </c>
      <c r="E14" s="3" t="s">
        <v>957</v>
      </c>
      <c r="F14" s="3" t="s">
        <v>958</v>
      </c>
      <c r="G14" s="4">
        <v>18.9081</v>
      </c>
      <c r="H14" s="3" t="s">
        <v>959</v>
      </c>
      <c r="I14" s="3" t="s">
        <v>854</v>
      </c>
      <c r="J14" s="3" t="s">
        <v>960</v>
      </c>
      <c r="K14" s="3" t="s">
        <v>961</v>
      </c>
    </row>
    <row r="15" ht="140" customHeight="1" spans="1:11">
      <c r="A15" s="5" t="s">
        <v>755</v>
      </c>
      <c r="B15" s="5" t="s">
        <v>263</v>
      </c>
      <c r="C15" s="5" t="s">
        <v>962</v>
      </c>
      <c r="D15" s="5" t="s">
        <v>757</v>
      </c>
      <c r="E15" s="5" t="s">
        <v>963</v>
      </c>
      <c r="F15" s="5" t="s">
        <v>964</v>
      </c>
      <c r="G15" s="6">
        <v>85.1</v>
      </c>
      <c r="H15" s="5" t="s">
        <v>965</v>
      </c>
      <c r="I15" s="5" t="s">
        <v>759</v>
      </c>
      <c r="J15" s="5" t="s">
        <v>966</v>
      </c>
      <c r="K15" s="5" t="s">
        <v>961</v>
      </c>
    </row>
    <row r="16" ht="140" customHeight="1" spans="1:11">
      <c r="A16" s="3" t="s">
        <v>888</v>
      </c>
      <c r="B16" s="3" t="s">
        <v>629</v>
      </c>
      <c r="C16" s="3" t="s">
        <v>967</v>
      </c>
      <c r="D16" s="3" t="s">
        <v>890</v>
      </c>
      <c r="E16" s="3" t="s">
        <v>968</v>
      </c>
      <c r="F16" s="3" t="s">
        <v>969</v>
      </c>
      <c r="G16" s="4">
        <v>4.3961</v>
      </c>
      <c r="H16" s="3" t="s">
        <v>970</v>
      </c>
      <c r="I16" s="3" t="s">
        <v>892</v>
      </c>
      <c r="J16" s="3" t="s">
        <v>971</v>
      </c>
      <c r="K16" s="3" t="s">
        <v>961</v>
      </c>
    </row>
    <row r="17" ht="140" customHeight="1" spans="1:11">
      <c r="A17" s="5" t="s">
        <v>807</v>
      </c>
      <c r="B17" s="5" t="s">
        <v>453</v>
      </c>
      <c r="C17" s="5" t="s">
        <v>972</v>
      </c>
      <c r="D17" s="5" t="s">
        <v>809</v>
      </c>
      <c r="E17" s="5" t="s">
        <v>973</v>
      </c>
      <c r="F17" s="5" t="s">
        <v>974</v>
      </c>
      <c r="G17" s="6">
        <v>25</v>
      </c>
      <c r="H17" s="5" t="s">
        <v>975</v>
      </c>
      <c r="I17" s="5" t="s">
        <v>812</v>
      </c>
      <c r="J17" s="5" t="s">
        <v>976</v>
      </c>
      <c r="K17" s="5" t="s">
        <v>961</v>
      </c>
    </row>
    <row r="18" ht="140" customHeight="1" spans="1:11">
      <c r="A18" s="3" t="s">
        <v>883</v>
      </c>
      <c r="B18" s="3" t="s">
        <v>339</v>
      </c>
      <c r="C18" s="3" t="s">
        <v>977</v>
      </c>
      <c r="D18" s="3" t="s">
        <v>885</v>
      </c>
      <c r="E18" s="3" t="s">
        <v>978</v>
      </c>
      <c r="F18" s="3" t="s">
        <v>979</v>
      </c>
      <c r="G18" s="4">
        <v>7.8669</v>
      </c>
      <c r="H18" s="3" t="s">
        <v>980</v>
      </c>
      <c r="I18" s="3" t="s">
        <v>887</v>
      </c>
      <c r="J18" s="3" t="s">
        <v>981</v>
      </c>
      <c r="K18" s="3" t="s">
        <v>961</v>
      </c>
    </row>
    <row r="19" ht="140" customHeight="1" spans="1:11">
      <c r="A19" s="5" t="s">
        <v>701</v>
      </c>
      <c r="B19" s="5" t="s">
        <v>466</v>
      </c>
      <c r="C19" s="5" t="s">
        <v>982</v>
      </c>
      <c r="D19" s="5" t="s">
        <v>703</v>
      </c>
      <c r="E19" s="5" t="s">
        <v>983</v>
      </c>
      <c r="F19" s="5" t="s">
        <v>984</v>
      </c>
      <c r="G19" s="6"/>
      <c r="H19" s="5" t="s">
        <v>931</v>
      </c>
      <c r="I19" s="5" t="s">
        <v>706</v>
      </c>
      <c r="J19" s="5" t="s">
        <v>985</v>
      </c>
      <c r="K19" s="5" t="s">
        <v>951</v>
      </c>
    </row>
    <row r="20" ht="140" customHeight="1" spans="1:11">
      <c r="A20" s="3" t="s">
        <v>743</v>
      </c>
      <c r="B20" s="3" t="s">
        <v>478</v>
      </c>
      <c r="C20" s="3" t="s">
        <v>986</v>
      </c>
      <c r="D20" s="3" t="s">
        <v>745</v>
      </c>
      <c r="E20" s="3" t="s">
        <v>987</v>
      </c>
      <c r="F20" s="3" t="s">
        <v>988</v>
      </c>
      <c r="G20" s="4"/>
      <c r="H20" s="3" t="s">
        <v>931</v>
      </c>
      <c r="I20" s="3" t="s">
        <v>748</v>
      </c>
      <c r="J20" s="3" t="s">
        <v>989</v>
      </c>
      <c r="K20" s="3" t="s">
        <v>951</v>
      </c>
    </row>
    <row r="21" ht="140" customHeight="1" spans="1:11">
      <c r="A21" s="5" t="s">
        <v>844</v>
      </c>
      <c r="B21" s="5" t="s">
        <v>565</v>
      </c>
      <c r="C21" s="5" t="s">
        <v>990</v>
      </c>
      <c r="D21" s="5" t="s">
        <v>846</v>
      </c>
      <c r="E21" s="5" t="s">
        <v>991</v>
      </c>
      <c r="F21" s="5" t="s">
        <v>992</v>
      </c>
      <c r="G21" s="6"/>
      <c r="H21" s="5" t="s">
        <v>931</v>
      </c>
      <c r="I21" s="5" t="s">
        <v>849</v>
      </c>
      <c r="J21" s="5" t="s">
        <v>993</v>
      </c>
      <c r="K21" s="5" t="s">
        <v>951</v>
      </c>
    </row>
    <row r="22" ht="140" customHeight="1" spans="1:11">
      <c r="A22" s="3" t="s">
        <v>695</v>
      </c>
      <c r="B22" s="3" t="s">
        <v>16</v>
      </c>
      <c r="C22" s="3" t="s">
        <v>994</v>
      </c>
      <c r="D22" s="3" t="s">
        <v>697</v>
      </c>
      <c r="E22" s="3" t="s">
        <v>995</v>
      </c>
      <c r="F22" s="3" t="s">
        <v>996</v>
      </c>
      <c r="G22" s="4">
        <v>755.58</v>
      </c>
      <c r="H22" s="3" t="s">
        <v>931</v>
      </c>
      <c r="I22" s="3" t="s">
        <v>700</v>
      </c>
      <c r="J22" s="3" t="s">
        <v>997</v>
      </c>
      <c r="K22" s="3" t="s">
        <v>961</v>
      </c>
    </row>
    <row r="23" ht="140" customHeight="1" spans="1:11">
      <c r="A23" s="5" t="s">
        <v>749</v>
      </c>
      <c r="B23" s="5" t="s">
        <v>577</v>
      </c>
      <c r="C23" s="5" t="s">
        <v>998</v>
      </c>
      <c r="D23" s="5" t="s">
        <v>751</v>
      </c>
      <c r="E23" s="5" t="s">
        <v>999</v>
      </c>
      <c r="F23" s="5" t="s">
        <v>1000</v>
      </c>
      <c r="G23" s="6">
        <v>100</v>
      </c>
      <c r="H23" s="5" t="s">
        <v>931</v>
      </c>
      <c r="I23" s="5" t="s">
        <v>754</v>
      </c>
      <c r="J23" s="5" t="s">
        <v>1001</v>
      </c>
      <c r="K23" s="5" t="s">
        <v>961</v>
      </c>
    </row>
    <row r="24" ht="140" customHeight="1" spans="1:11">
      <c r="A24" s="3" t="s">
        <v>767</v>
      </c>
      <c r="B24" s="3" t="s">
        <v>590</v>
      </c>
      <c r="C24" s="3" t="s">
        <v>1002</v>
      </c>
      <c r="D24" s="3" t="s">
        <v>691</v>
      </c>
      <c r="E24" s="3" t="s">
        <v>1003</v>
      </c>
      <c r="F24" s="3" t="s">
        <v>1004</v>
      </c>
      <c r="G24" s="4">
        <v>60</v>
      </c>
      <c r="H24" s="3" t="s">
        <v>931</v>
      </c>
      <c r="I24" s="3" t="s">
        <v>694</v>
      </c>
      <c r="J24" s="3" t="s">
        <v>1005</v>
      </c>
      <c r="K24" s="3" t="s">
        <v>933</v>
      </c>
    </row>
    <row r="25" ht="140" customHeight="1" spans="1:11">
      <c r="A25" s="5" t="s">
        <v>776</v>
      </c>
      <c r="B25" s="5" t="s">
        <v>490</v>
      </c>
      <c r="C25" s="5" t="s">
        <v>1006</v>
      </c>
      <c r="D25" s="5" t="s">
        <v>778</v>
      </c>
      <c r="E25" s="5" t="s">
        <v>1007</v>
      </c>
      <c r="F25" s="5" t="s">
        <v>1008</v>
      </c>
      <c r="G25" s="6"/>
      <c r="H25" s="5" t="s">
        <v>931</v>
      </c>
      <c r="I25" s="5" t="s">
        <v>781</v>
      </c>
      <c r="J25" s="5" t="s">
        <v>1009</v>
      </c>
      <c r="K25" s="5" t="s">
        <v>951</v>
      </c>
    </row>
    <row r="26" ht="140" customHeight="1" spans="1:11">
      <c r="A26" s="3" t="s">
        <v>817</v>
      </c>
      <c r="B26" s="3" t="s">
        <v>173</v>
      </c>
      <c r="C26" s="3" t="s">
        <v>1010</v>
      </c>
      <c r="D26" s="3" t="s">
        <v>789</v>
      </c>
      <c r="E26" s="3" t="s">
        <v>1011</v>
      </c>
      <c r="F26" s="3" t="s">
        <v>1012</v>
      </c>
      <c r="G26" s="4">
        <v>31.3113</v>
      </c>
      <c r="H26" s="3" t="s">
        <v>949</v>
      </c>
      <c r="I26" s="3" t="s">
        <v>820</v>
      </c>
      <c r="J26" s="3" t="s">
        <v>1013</v>
      </c>
      <c r="K26" s="3" t="s">
        <v>961</v>
      </c>
    </row>
    <row r="27" ht="140" customHeight="1" spans="1:11">
      <c r="A27" s="5" t="s">
        <v>787</v>
      </c>
      <c r="B27" s="5" t="s">
        <v>81</v>
      </c>
      <c r="C27" s="5" t="s">
        <v>1014</v>
      </c>
      <c r="D27" s="5" t="s">
        <v>789</v>
      </c>
      <c r="E27" s="5" t="s">
        <v>1015</v>
      </c>
      <c r="F27" s="5" t="s">
        <v>1016</v>
      </c>
      <c r="G27" s="6">
        <v>41.4243</v>
      </c>
      <c r="H27" s="5" t="s">
        <v>949</v>
      </c>
      <c r="I27" s="5" t="s">
        <v>791</v>
      </c>
      <c r="J27" s="5" t="s">
        <v>1017</v>
      </c>
      <c r="K27" s="5" t="s">
        <v>961</v>
      </c>
    </row>
    <row r="28" ht="140" customHeight="1" spans="1:11">
      <c r="A28" s="3" t="s">
        <v>855</v>
      </c>
      <c r="B28" s="3" t="s">
        <v>94</v>
      </c>
      <c r="C28" s="3" t="s">
        <v>1018</v>
      </c>
      <c r="D28" s="3" t="s">
        <v>789</v>
      </c>
      <c r="E28" s="3" t="s">
        <v>1019</v>
      </c>
      <c r="F28" s="3" t="s">
        <v>1020</v>
      </c>
      <c r="G28" s="4">
        <v>610.9817</v>
      </c>
      <c r="H28" s="3" t="s">
        <v>949</v>
      </c>
      <c r="I28" s="3" t="s">
        <v>1021</v>
      </c>
      <c r="J28" s="3" t="s">
        <v>1022</v>
      </c>
      <c r="K28" s="3" t="s">
        <v>961</v>
      </c>
    </row>
    <row r="29" ht="140" customHeight="1" spans="1:11">
      <c r="A29" s="5" t="s">
        <v>813</v>
      </c>
      <c r="B29" s="5" t="s">
        <v>186</v>
      </c>
      <c r="C29" s="5" t="s">
        <v>1023</v>
      </c>
      <c r="D29" s="5" t="s">
        <v>721</v>
      </c>
      <c r="E29" s="5" t="s">
        <v>1024</v>
      </c>
      <c r="F29" s="5" t="s">
        <v>1025</v>
      </c>
      <c r="G29" s="6"/>
      <c r="H29" s="5" t="s">
        <v>949</v>
      </c>
      <c r="I29" s="5" t="s">
        <v>816</v>
      </c>
      <c r="J29" s="5" t="s">
        <v>1026</v>
      </c>
      <c r="K29" s="5" t="s">
        <v>951</v>
      </c>
    </row>
    <row r="30" ht="140" customHeight="1" spans="1:11">
      <c r="A30" s="3" t="s">
        <v>876</v>
      </c>
      <c r="B30" s="3" t="s">
        <v>31</v>
      </c>
      <c r="C30" s="3" t="s">
        <v>1027</v>
      </c>
      <c r="D30" s="3" t="s">
        <v>721</v>
      </c>
      <c r="E30" s="3" t="s">
        <v>1028</v>
      </c>
      <c r="F30" s="3" t="s">
        <v>1029</v>
      </c>
      <c r="G30" s="4"/>
      <c r="H30" s="3" t="s">
        <v>949</v>
      </c>
      <c r="I30" s="3" t="s">
        <v>880</v>
      </c>
      <c r="J30" s="3" t="s">
        <v>1030</v>
      </c>
      <c r="K30" s="3" t="s">
        <v>951</v>
      </c>
    </row>
    <row r="31" ht="140" customHeight="1" spans="1:11">
      <c r="A31" s="5" t="s">
        <v>898</v>
      </c>
      <c r="B31" s="5" t="s">
        <v>288</v>
      </c>
      <c r="C31" s="5" t="s">
        <v>1031</v>
      </c>
      <c r="D31" s="5" t="s">
        <v>900</v>
      </c>
      <c r="E31" s="5" t="s">
        <v>1032</v>
      </c>
      <c r="F31" s="5" t="s">
        <v>1033</v>
      </c>
      <c r="G31" s="6"/>
      <c r="H31" s="5" t="s">
        <v>949</v>
      </c>
      <c r="I31" s="5" t="s">
        <v>902</v>
      </c>
      <c r="J31" s="5" t="s">
        <v>1034</v>
      </c>
      <c r="K31" s="5" t="s">
        <v>951</v>
      </c>
    </row>
    <row r="32" ht="140" customHeight="1" spans="1:11">
      <c r="A32" s="3" t="s">
        <v>903</v>
      </c>
      <c r="B32" s="3" t="s">
        <v>353</v>
      </c>
      <c r="C32" s="3" t="s">
        <v>1035</v>
      </c>
      <c r="D32" s="3" t="s">
        <v>900</v>
      </c>
      <c r="E32" s="3" t="s">
        <v>1036</v>
      </c>
      <c r="F32" s="3" t="s">
        <v>1033</v>
      </c>
      <c r="G32" s="4"/>
      <c r="H32" s="3" t="s">
        <v>949</v>
      </c>
      <c r="I32" s="3" t="s">
        <v>902</v>
      </c>
      <c r="J32" s="3" t="s">
        <v>1037</v>
      </c>
      <c r="K32" s="3" t="s">
        <v>951</v>
      </c>
    </row>
    <row r="33" ht="140" customHeight="1" spans="1:11">
      <c r="A33" s="5" t="s">
        <v>905</v>
      </c>
      <c r="B33" s="5" t="s">
        <v>364</v>
      </c>
      <c r="C33" s="5" t="s">
        <v>1038</v>
      </c>
      <c r="D33" s="5" t="s">
        <v>906</v>
      </c>
      <c r="E33" s="5" t="s">
        <v>1039</v>
      </c>
      <c r="F33" s="5" t="s">
        <v>1040</v>
      </c>
      <c r="G33" s="6"/>
      <c r="H33" s="5" t="s">
        <v>949</v>
      </c>
      <c r="I33" s="5" t="s">
        <v>908</v>
      </c>
      <c r="J33" s="5" t="s">
        <v>1041</v>
      </c>
      <c r="K33" s="5" t="s">
        <v>951</v>
      </c>
    </row>
    <row r="34" ht="140" customHeight="1" spans="1:11">
      <c r="A34" s="3" t="s">
        <v>732</v>
      </c>
      <c r="B34" s="3" t="s">
        <v>198</v>
      </c>
      <c r="C34" s="3" t="s">
        <v>1042</v>
      </c>
      <c r="D34" s="3" t="s">
        <v>734</v>
      </c>
      <c r="E34" s="3" t="s">
        <v>1043</v>
      </c>
      <c r="F34" s="3" t="s">
        <v>1044</v>
      </c>
      <c r="G34" s="4">
        <v>625</v>
      </c>
      <c r="H34" s="3" t="s">
        <v>937</v>
      </c>
      <c r="I34" s="3" t="s">
        <v>736</v>
      </c>
      <c r="J34" s="3" t="s">
        <v>1045</v>
      </c>
      <c r="K34" s="3" t="s">
        <v>933</v>
      </c>
    </row>
    <row r="35" ht="140" customHeight="1" spans="1:11">
      <c r="A35" s="5" t="s">
        <v>914</v>
      </c>
      <c r="B35" s="5" t="s">
        <v>642</v>
      </c>
      <c r="C35" s="5" t="s">
        <v>1046</v>
      </c>
      <c r="D35" s="5" t="s">
        <v>734</v>
      </c>
      <c r="E35" s="5" t="s">
        <v>1047</v>
      </c>
      <c r="F35" s="5" t="s">
        <v>1048</v>
      </c>
      <c r="G35" s="6">
        <v>0</v>
      </c>
      <c r="H35" s="5" t="s">
        <v>937</v>
      </c>
      <c r="I35" s="5" t="s">
        <v>917</v>
      </c>
      <c r="J35" s="5" t="s">
        <v>1049</v>
      </c>
      <c r="K35" s="5" t="s">
        <v>933</v>
      </c>
    </row>
    <row r="36" ht="140" customHeight="1" spans="1:11">
      <c r="A36" s="3" t="s">
        <v>832</v>
      </c>
      <c r="B36" s="3" t="s">
        <v>212</v>
      </c>
      <c r="C36" s="3" t="s">
        <v>1050</v>
      </c>
      <c r="D36" s="3" t="s">
        <v>834</v>
      </c>
      <c r="E36" s="3" t="s">
        <v>1051</v>
      </c>
      <c r="F36" s="3" t="s">
        <v>1052</v>
      </c>
      <c r="G36" s="4"/>
      <c r="H36" s="3" t="s">
        <v>1053</v>
      </c>
      <c r="I36" s="3" t="s">
        <v>837</v>
      </c>
      <c r="J36" s="3" t="s">
        <v>1054</v>
      </c>
      <c r="K36" s="3" t="s">
        <v>951</v>
      </c>
    </row>
    <row r="37" ht="140" customHeight="1" spans="1:11">
      <c r="A37" s="5" t="s">
        <v>821</v>
      </c>
      <c r="B37" s="5" t="s">
        <v>224</v>
      </c>
      <c r="C37" s="5" t="s">
        <v>1055</v>
      </c>
      <c r="D37" s="5" t="s">
        <v>823</v>
      </c>
      <c r="E37" s="5" t="s">
        <v>1056</v>
      </c>
      <c r="F37" s="5" t="s">
        <v>1057</v>
      </c>
      <c r="G37" s="6">
        <v>10.0939</v>
      </c>
      <c r="H37" s="5" t="s">
        <v>1058</v>
      </c>
      <c r="I37" s="5" t="s">
        <v>825</v>
      </c>
      <c r="J37" s="5" t="s">
        <v>1059</v>
      </c>
      <c r="K37" s="5" t="s">
        <v>961</v>
      </c>
    </row>
    <row r="38" ht="140" customHeight="1" spans="1:11">
      <c r="A38" s="3" t="s">
        <v>796</v>
      </c>
      <c r="B38" s="3" t="s">
        <v>276</v>
      </c>
      <c r="C38" s="3" t="s">
        <v>1060</v>
      </c>
      <c r="D38" s="3" t="s">
        <v>798</v>
      </c>
      <c r="E38" s="3" t="s">
        <v>1061</v>
      </c>
      <c r="F38" s="3" t="s">
        <v>1062</v>
      </c>
      <c r="G38" s="4"/>
      <c r="H38" s="3" t="s">
        <v>1063</v>
      </c>
      <c r="I38" s="3" t="s">
        <v>800</v>
      </c>
      <c r="J38" s="3" t="s">
        <v>1064</v>
      </c>
      <c r="K38" s="3" t="s">
        <v>951</v>
      </c>
    </row>
    <row r="39" ht="140" customHeight="1" spans="1:11">
      <c r="A39" s="5" t="s">
        <v>842</v>
      </c>
      <c r="B39" s="5" t="s">
        <v>376</v>
      </c>
      <c r="C39" s="5" t="s">
        <v>1065</v>
      </c>
      <c r="D39" s="5" t="s">
        <v>734</v>
      </c>
      <c r="E39" s="5" t="s">
        <v>1066</v>
      </c>
      <c r="F39" s="5" t="s">
        <v>1067</v>
      </c>
      <c r="G39" s="6">
        <v>20</v>
      </c>
      <c r="H39" s="5" t="s">
        <v>937</v>
      </c>
      <c r="I39" s="5" t="s">
        <v>736</v>
      </c>
      <c r="J39" s="5" t="s">
        <v>1068</v>
      </c>
      <c r="K39" s="5" t="s">
        <v>933</v>
      </c>
    </row>
    <row r="40" ht="140" customHeight="1" spans="1:11">
      <c r="A40" s="3" t="s">
        <v>737</v>
      </c>
      <c r="B40" s="3" t="s">
        <v>415</v>
      </c>
      <c r="C40" s="3" t="s">
        <v>1069</v>
      </c>
      <c r="D40" s="3" t="s">
        <v>739</v>
      </c>
      <c r="E40" s="3" t="s">
        <v>1070</v>
      </c>
      <c r="F40" s="3" t="s">
        <v>1071</v>
      </c>
      <c r="G40" s="4">
        <v>361.7571</v>
      </c>
      <c r="H40" s="3" t="s">
        <v>1072</v>
      </c>
      <c r="I40" s="3" t="s">
        <v>742</v>
      </c>
      <c r="J40" s="3" t="s">
        <v>1073</v>
      </c>
      <c r="K40" s="3" t="s">
        <v>961</v>
      </c>
    </row>
    <row r="41" ht="140" customHeight="1" spans="1:11">
      <c r="A41" s="5" t="s">
        <v>909</v>
      </c>
      <c r="B41" s="5" t="s">
        <v>428</v>
      </c>
      <c r="C41" s="5" t="s">
        <v>1074</v>
      </c>
      <c r="D41" s="5" t="s">
        <v>911</v>
      </c>
      <c r="E41" s="5" t="s">
        <v>1075</v>
      </c>
      <c r="F41" s="5" t="s">
        <v>1076</v>
      </c>
      <c r="G41" s="6"/>
      <c r="H41" s="5" t="s">
        <v>1077</v>
      </c>
      <c r="I41" s="5" t="s">
        <v>913</v>
      </c>
      <c r="J41" s="5" t="s">
        <v>1078</v>
      </c>
      <c r="K41" s="5" t="s">
        <v>951</v>
      </c>
    </row>
    <row r="42" ht="140" customHeight="1" spans="1:11">
      <c r="A42" s="3" t="s">
        <v>866</v>
      </c>
      <c r="B42" s="3" t="s">
        <v>237</v>
      </c>
      <c r="C42" s="3" t="s">
        <v>1023</v>
      </c>
      <c r="D42" s="3" t="s">
        <v>1079</v>
      </c>
      <c r="E42" s="3" t="s">
        <v>1080</v>
      </c>
      <c r="F42" s="3" t="s">
        <v>1081</v>
      </c>
      <c r="G42" s="4">
        <v>60</v>
      </c>
      <c r="H42" s="3" t="s">
        <v>1082</v>
      </c>
      <c r="I42" s="3" t="s">
        <v>1083</v>
      </c>
      <c r="J42" s="3" t="s">
        <v>1084</v>
      </c>
      <c r="K42" s="3" t="s">
        <v>961</v>
      </c>
    </row>
    <row r="43" ht="140" customHeight="1" spans="1:11">
      <c r="A43" s="5" t="s">
        <v>893</v>
      </c>
      <c r="B43" s="5" t="s">
        <v>107</v>
      </c>
      <c r="C43" s="5" t="s">
        <v>1085</v>
      </c>
      <c r="D43" s="5" t="s">
        <v>895</v>
      </c>
      <c r="E43" s="5" t="s">
        <v>1086</v>
      </c>
      <c r="F43" s="5" t="s">
        <v>1087</v>
      </c>
      <c r="G43" s="6"/>
      <c r="H43" s="5" t="s">
        <v>1088</v>
      </c>
      <c r="I43" s="5" t="s">
        <v>897</v>
      </c>
      <c r="J43" s="5" t="s">
        <v>1089</v>
      </c>
      <c r="K43" s="5" t="s">
        <v>951</v>
      </c>
    </row>
    <row r="44" ht="140" customHeight="1" spans="1:11">
      <c r="A44" s="3" t="s">
        <v>684</v>
      </c>
      <c r="B44" s="3" t="s">
        <v>389</v>
      </c>
      <c r="C44" s="3" t="s">
        <v>1090</v>
      </c>
      <c r="D44" s="3" t="s">
        <v>1091</v>
      </c>
      <c r="E44" s="3" t="s">
        <v>1092</v>
      </c>
      <c r="F44" s="3" t="s">
        <v>1093</v>
      </c>
      <c r="G44" s="4">
        <v>43.75</v>
      </c>
      <c r="H44" s="3" t="s">
        <v>1094</v>
      </c>
      <c r="I44" s="3" t="s">
        <v>1095</v>
      </c>
      <c r="J44" s="3" t="s">
        <v>1096</v>
      </c>
      <c r="K44" s="3" t="s">
        <v>933</v>
      </c>
    </row>
    <row r="45" ht="140" customHeight="1" spans="1:11">
      <c r="A45" s="5" t="s">
        <v>871</v>
      </c>
      <c r="B45" s="5" t="s">
        <v>120</v>
      </c>
      <c r="C45" s="5" t="s">
        <v>1097</v>
      </c>
      <c r="D45" s="5" t="s">
        <v>1098</v>
      </c>
      <c r="E45" s="5" t="s">
        <v>1099</v>
      </c>
      <c r="F45" s="5" t="s">
        <v>1100</v>
      </c>
      <c r="G45" s="6">
        <v>39.3439</v>
      </c>
      <c r="H45" s="5" t="s">
        <v>1101</v>
      </c>
      <c r="I45" s="5" t="s">
        <v>1102</v>
      </c>
      <c r="J45" s="5" t="s">
        <v>1103</v>
      </c>
      <c r="K45" s="5" t="s">
        <v>961</v>
      </c>
    </row>
    <row r="46" ht="140" customHeight="1" spans="1:11">
      <c r="A46" s="3" t="s">
        <v>728</v>
      </c>
      <c r="B46" s="3" t="s">
        <v>402</v>
      </c>
      <c r="C46" s="3" t="s">
        <v>1038</v>
      </c>
      <c r="D46" s="3" t="s">
        <v>1104</v>
      </c>
      <c r="E46" s="3" t="s">
        <v>1105</v>
      </c>
      <c r="F46" s="3" t="s">
        <v>1106</v>
      </c>
      <c r="G46" s="4">
        <v>18.552</v>
      </c>
      <c r="H46" s="3" t="s">
        <v>1107</v>
      </c>
      <c r="I46" s="3" t="s">
        <v>1108</v>
      </c>
      <c r="J46" s="3" t="s">
        <v>1109</v>
      </c>
      <c r="K46" s="3" t="s">
        <v>961</v>
      </c>
    </row>
    <row r="47" ht="140" customHeight="1" spans="1:11">
      <c r="A47" s="5" t="s">
        <v>707</v>
      </c>
      <c r="B47" s="5" t="s">
        <v>502</v>
      </c>
      <c r="C47" s="5" t="s">
        <v>1110</v>
      </c>
      <c r="D47" s="5" t="s">
        <v>1111</v>
      </c>
      <c r="E47" s="5" t="s">
        <v>1112</v>
      </c>
      <c r="F47" s="5" t="s">
        <v>1113</v>
      </c>
      <c r="G47" s="6">
        <v>11.6667</v>
      </c>
      <c r="H47" s="5" t="s">
        <v>1114</v>
      </c>
      <c r="I47" s="5" t="s">
        <v>1115</v>
      </c>
      <c r="J47" s="5" t="s">
        <v>1116</v>
      </c>
      <c r="K47" s="5" t="s">
        <v>933</v>
      </c>
    </row>
    <row r="48" ht="140" customHeight="1" spans="1:11">
      <c r="A48" s="3" t="s">
        <v>677</v>
      </c>
      <c r="B48" s="3" t="s">
        <v>312</v>
      </c>
      <c r="C48" s="3" t="s">
        <v>1117</v>
      </c>
      <c r="D48" s="3" t="s">
        <v>1118</v>
      </c>
      <c r="E48" s="3" t="s">
        <v>1119</v>
      </c>
      <c r="F48" s="3" t="s">
        <v>1120</v>
      </c>
      <c r="G48" s="4">
        <v>625</v>
      </c>
      <c r="H48" s="3" t="s">
        <v>1114</v>
      </c>
      <c r="I48" s="3" t="s">
        <v>1121</v>
      </c>
      <c r="J48" s="3" t="s">
        <v>1122</v>
      </c>
      <c r="K48" s="3" t="s">
        <v>933</v>
      </c>
    </row>
    <row r="49" ht="140" customHeight="1" spans="1:11">
      <c r="A49" s="5" t="s">
        <v>782</v>
      </c>
      <c r="B49" s="5" t="s">
        <v>515</v>
      </c>
      <c r="C49" s="5" t="s">
        <v>1123</v>
      </c>
      <c r="D49" s="5" t="s">
        <v>764</v>
      </c>
      <c r="E49" s="5" t="s">
        <v>1124</v>
      </c>
      <c r="F49" s="5" t="s">
        <v>1125</v>
      </c>
      <c r="G49" s="6"/>
      <c r="H49" s="5" t="s">
        <v>1126</v>
      </c>
      <c r="I49" s="5" t="s">
        <v>1127</v>
      </c>
      <c r="J49" s="5" t="s">
        <v>1128</v>
      </c>
      <c r="K49" s="5" t="s">
        <v>951</v>
      </c>
    </row>
    <row r="50" ht="140" customHeight="1" spans="1:11">
      <c r="A50" s="3" t="s">
        <v>762</v>
      </c>
      <c r="B50" s="3" t="s">
        <v>44</v>
      </c>
      <c r="C50" s="3" t="s">
        <v>1129</v>
      </c>
      <c r="D50" s="3" t="s">
        <v>764</v>
      </c>
      <c r="E50" s="3" t="s">
        <v>1130</v>
      </c>
      <c r="F50" s="3" t="s">
        <v>1131</v>
      </c>
      <c r="G50" s="4"/>
      <c r="H50" s="3" t="s">
        <v>1132</v>
      </c>
      <c r="I50" s="3" t="s">
        <v>766</v>
      </c>
      <c r="J50" s="3" t="s">
        <v>1133</v>
      </c>
      <c r="K50" s="3" t="s">
        <v>951</v>
      </c>
    </row>
    <row r="51" ht="140" customHeight="1" spans="1:11">
      <c r="A51" s="5" t="s">
        <v>838</v>
      </c>
      <c r="B51" s="5" t="s">
        <v>527</v>
      </c>
      <c r="C51" s="5" t="s">
        <v>982</v>
      </c>
      <c r="D51" s="5" t="s">
        <v>725</v>
      </c>
      <c r="E51" s="5" t="s">
        <v>1134</v>
      </c>
      <c r="F51" s="5" t="s">
        <v>1135</v>
      </c>
      <c r="G51" s="6"/>
      <c r="H51" s="5" t="s">
        <v>1136</v>
      </c>
      <c r="I51" s="5" t="s">
        <v>1137</v>
      </c>
      <c r="J51" s="5" t="s">
        <v>1138</v>
      </c>
      <c r="K51" s="5" t="s">
        <v>951</v>
      </c>
    </row>
    <row r="52" ht="140" customHeight="1" spans="1:11">
      <c r="A52" s="3" t="s">
        <v>826</v>
      </c>
      <c r="B52" s="3" t="s">
        <v>603</v>
      </c>
      <c r="C52" s="3" t="s">
        <v>1139</v>
      </c>
      <c r="D52" s="3" t="s">
        <v>764</v>
      </c>
      <c r="E52" s="3" t="s">
        <v>1140</v>
      </c>
      <c r="F52" s="3" t="s">
        <v>1141</v>
      </c>
      <c r="G52" s="4"/>
      <c r="H52" s="3" t="s">
        <v>1142</v>
      </c>
      <c r="I52" s="3" t="s">
        <v>1143</v>
      </c>
      <c r="J52" s="3" t="s">
        <v>1144</v>
      </c>
      <c r="K52" s="3" t="s">
        <v>951</v>
      </c>
    </row>
    <row r="53" ht="140" customHeight="1" spans="1:11">
      <c r="A53" s="5" t="s">
        <v>714</v>
      </c>
      <c r="B53" s="5" t="s">
        <v>539</v>
      </c>
      <c r="C53" s="5" t="s">
        <v>1145</v>
      </c>
      <c r="D53" s="5" t="s">
        <v>716</v>
      </c>
      <c r="E53" s="5" t="s">
        <v>1146</v>
      </c>
      <c r="F53" s="5" t="s">
        <v>1147</v>
      </c>
      <c r="G53" s="6"/>
      <c r="H53" s="5" t="s">
        <v>931</v>
      </c>
      <c r="I53" s="5" t="s">
        <v>719</v>
      </c>
      <c r="J53" s="5" t="s">
        <v>1148</v>
      </c>
      <c r="K53" s="5" t="s">
        <v>951</v>
      </c>
    </row>
    <row r="54" ht="140" customHeight="1" spans="1:11">
      <c r="A54" s="3" t="s">
        <v>860</v>
      </c>
      <c r="B54" s="3" t="s">
        <v>134</v>
      </c>
      <c r="C54" s="3" t="s">
        <v>1149</v>
      </c>
      <c r="D54" s="3" t="s">
        <v>764</v>
      </c>
      <c r="E54" s="3" t="s">
        <v>1150</v>
      </c>
      <c r="F54" s="3" t="s">
        <v>1151</v>
      </c>
      <c r="G54" s="4"/>
      <c r="H54" s="3" t="s">
        <v>1152</v>
      </c>
      <c r="I54" s="3" t="s">
        <v>1153</v>
      </c>
      <c r="J54" s="3" t="s">
        <v>1154</v>
      </c>
      <c r="K54" s="3" t="s">
        <v>951</v>
      </c>
    </row>
    <row r="55" ht="140" customHeight="1" spans="1:11">
      <c r="A55" s="5" t="s">
        <v>792</v>
      </c>
      <c r="B55" s="5" t="s">
        <v>148</v>
      </c>
      <c r="C55" s="5" t="s">
        <v>1155</v>
      </c>
      <c r="D55" s="5" t="s">
        <v>764</v>
      </c>
      <c r="E55" s="5" t="s">
        <v>1156</v>
      </c>
      <c r="F55" s="5" t="s">
        <v>1157</v>
      </c>
      <c r="G55" s="6"/>
      <c r="H55" s="5" t="s">
        <v>1158</v>
      </c>
      <c r="I55" s="5" t="s">
        <v>795</v>
      </c>
      <c r="J55" s="5" t="s">
        <v>1159</v>
      </c>
      <c r="K55" s="5" t="s">
        <v>951</v>
      </c>
    </row>
    <row r="56" ht="140" customHeight="1" spans="1:11">
      <c r="A56" s="3" t="s">
        <v>724</v>
      </c>
      <c r="B56" s="3" t="s">
        <v>250</v>
      </c>
      <c r="C56" s="3" t="s">
        <v>1023</v>
      </c>
      <c r="D56" s="3" t="s">
        <v>725</v>
      </c>
      <c r="E56" s="3" t="s">
        <v>1160</v>
      </c>
      <c r="F56" s="3" t="s">
        <v>1161</v>
      </c>
      <c r="G56" s="4"/>
      <c r="H56" s="3" t="s">
        <v>1162</v>
      </c>
      <c r="I56" s="3" t="s">
        <v>727</v>
      </c>
      <c r="J56" s="3" t="s">
        <v>1163</v>
      </c>
      <c r="K56" s="3" t="s">
        <v>951</v>
      </c>
    </row>
    <row r="57" ht="140" customHeight="1" spans="1:11">
      <c r="A57" s="5" t="s">
        <v>770</v>
      </c>
      <c r="B57" s="5" t="s">
        <v>300</v>
      </c>
      <c r="C57" s="5" t="s">
        <v>1164</v>
      </c>
      <c r="D57" s="5" t="s">
        <v>772</v>
      </c>
      <c r="E57" s="5" t="s">
        <v>1165</v>
      </c>
      <c r="F57" s="5" t="s">
        <v>1166</v>
      </c>
      <c r="G57" s="6"/>
      <c r="H57" s="5" t="s">
        <v>1167</v>
      </c>
      <c r="I57" s="5" t="s">
        <v>775</v>
      </c>
      <c r="J57" s="5" t="s">
        <v>1168</v>
      </c>
      <c r="K57" s="5" t="s">
        <v>951</v>
      </c>
    </row>
  </sheetData>
  <mergeCells count="1">
    <mergeCell ref="A1:K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3</vt:i4>
      </vt:variant>
    </vt:vector>
  </HeadingPairs>
  <TitlesOfParts>
    <vt:vector size="3" baseType="lpstr">
      <vt:lpstr>题库底稿</vt:lpstr>
      <vt:lpstr>回报测算</vt:lpstr>
      <vt:lpstr>资料口径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吴雨航AGIBOT</cp:lastModifiedBy>
  <dcterms:created xsi:type="dcterms:W3CDTF">2026-10-16T08:56:00Z</dcterms:created>
  <dcterms:modified xsi:type="dcterms:W3CDTF">2026-10-20T16:30:58Z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681DA55BF0BD61DFC226D76A8B26D179_43</vt:lpwstr>
  </property>
  <property fmtid="{D5CDD505-2E9C-101B-9397-08002B2CF9AE}" pid="3" name="KSOProductBuildVer">
    <vt:lpwstr>2052-12.1.28496.28496</vt:lpwstr>
  </property>
  <property fmtid="{D5CDD505-2E9C-101B-9397-08002B2CF9AE}" pid="4" name="CalculationRule">
    <vt:i4>0</vt:i4>
  </property>
</Properties>
</file>